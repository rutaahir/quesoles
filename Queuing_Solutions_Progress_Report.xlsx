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ule Audit" sheetId="2" state="visible" r:id="rId2"/>
    <sheet name="Untracked - Extra Code" sheetId="3" state="visible" r:id="rId3"/>
  </sheets>
  <definedNames>
    <definedName name="_xlnm._FilterDatabase" localSheetId="1" hidden="1">'Module Audit'!$A$1:$M$77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&quot;%&quot;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16"/>
    </font>
    <font>
      <b val="1"/>
      <sz val="12"/>
    </font>
    <font>
      <b val="1"/>
      <color rgb="00375623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165" fontId="0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60" customWidth="1" min="4" max="4"/>
  </cols>
  <sheetData>
    <row r="1">
      <c r="A1" s="1" t="inlineStr">
        <is>
          <t>Queuing Solutions – Engineering Progress Dashboard</t>
        </is>
      </c>
    </row>
    <row r="3">
      <c r="A3" s="2" t="inlineStr">
        <is>
          <t>Overall Weighted % Complete:</t>
        </is>
      </c>
      <c r="B3" s="3">
        <f>AVERAGE('Module Audit'!F2:F77)</f>
        <v/>
      </c>
    </row>
    <row r="5">
      <c r="A5" s="4" t="inlineStr">
        <is>
          <t>Status</t>
        </is>
      </c>
      <c r="B5" s="4" t="inlineStr">
        <is>
          <t>Count</t>
        </is>
      </c>
      <c r="C5" s="4" t="inlineStr">
        <is>
          <t>% of Total</t>
        </is>
      </c>
    </row>
    <row r="6">
      <c r="A6" s="5" t="inlineStr">
        <is>
          <t>Fully Working</t>
        </is>
      </c>
      <c r="B6">
        <f>COUNTIF('Module Audit'!E2:E77,"Fully Working")</f>
        <v/>
      </c>
      <c r="C6" s="6">
        <f>B6/76</f>
        <v/>
      </c>
    </row>
    <row r="7">
      <c r="A7" s="7" t="inlineStr">
        <is>
          <t>Partially Working</t>
        </is>
      </c>
      <c r="B7">
        <f>COUNTIF('Module Audit'!E2:E77,"Partially Working")</f>
        <v/>
      </c>
      <c r="C7" s="6">
        <f>B7/76</f>
        <v/>
      </c>
    </row>
    <row r="8">
      <c r="A8" s="8" t="inlineStr">
        <is>
          <t>Scaffolded</t>
        </is>
      </c>
      <c r="B8">
        <f>COUNTIF('Module Audit'!E2:E77,"Scaffolded")</f>
        <v/>
      </c>
      <c r="C8" s="6">
        <f>B8/76</f>
        <v/>
      </c>
    </row>
    <row r="9">
      <c r="A9" s="9" t="inlineStr">
        <is>
          <t>Broken</t>
        </is>
      </c>
      <c r="B9">
        <f>COUNTIF('Module Audit'!E2:E77,"Broken")</f>
        <v/>
      </c>
      <c r="C9" s="6">
        <f>B9/76</f>
        <v/>
      </c>
    </row>
    <row r="10">
      <c r="A10" s="10" t="inlineStr">
        <is>
          <t>Not Started</t>
        </is>
      </c>
      <c r="B10">
        <f>COUNTIF('Module Audit'!E2:E77,"Not Started")</f>
        <v/>
      </c>
      <c r="C10" s="6">
        <f>B10/76</f>
        <v/>
      </c>
    </row>
    <row r="13">
      <c r="A13" s="4" t="inlineStr">
        <is>
          <t>Module Group</t>
        </is>
      </c>
      <c r="B13" s="4" t="inlineStr">
        <is>
          <t>% Complete (weighted)</t>
        </is>
      </c>
      <c r="C13" s="4" t="inlineStr">
        <is>
          <t>Count</t>
        </is>
      </c>
    </row>
    <row r="14">
      <c r="A14" t="inlineStr">
        <is>
          <t>M0 – Platform Foundation</t>
        </is>
      </c>
      <c r="B14" s="6">
        <f>AVERAGEIF('Module Audit'!C2:C77,A14,'Module Audit'!F2:F77)</f>
        <v/>
      </c>
      <c r="C14">
        <f>COUNTIF('Module Audit'!C2:C77,A14)</f>
        <v/>
      </c>
    </row>
    <row r="15">
      <c r="A15" t="inlineStr">
        <is>
          <t>M1 – Company Onboarding</t>
        </is>
      </c>
      <c r="B15" s="6">
        <f>AVERAGEIF('Module Audit'!C2:C77,A15,'Module Audit'!F2:F77)</f>
        <v/>
      </c>
      <c r="C15">
        <f>COUNTIF('Module Audit'!C2:C77,A15)</f>
        <v/>
      </c>
    </row>
    <row r="16">
      <c r="A16" t="inlineStr">
        <is>
          <t>M10 – Super Admin Console</t>
        </is>
      </c>
      <c r="B16" s="6">
        <f>AVERAGEIF('Module Audit'!C2:C77,A16,'Module Audit'!F2:F77)</f>
        <v/>
      </c>
      <c r="C16">
        <f>COUNTIF('Module Audit'!C2:C77,A16)</f>
        <v/>
      </c>
    </row>
    <row r="17">
      <c r="A17" t="inlineStr">
        <is>
          <t>M11 – Frontend / Public Pages</t>
        </is>
      </c>
      <c r="B17" s="6">
        <f>AVERAGEIF('Module Audit'!C2:C77,A17,'Module Audit'!F2:F77)</f>
        <v/>
      </c>
      <c r="C17">
        <f>COUNTIF('Module Audit'!C2:C77,A17)</f>
        <v/>
      </c>
    </row>
    <row r="18">
      <c r="A18" t="inlineStr">
        <is>
          <t>M2 – Branch &amp; Staff Management</t>
        </is>
      </c>
      <c r="B18" s="6">
        <f>AVERAGEIF('Module Audit'!C2:C77,A18,'Module Audit'!F2:F77)</f>
        <v/>
      </c>
      <c r="C18">
        <f>COUNTIF('Module Audit'!C2:C77,A18)</f>
        <v/>
      </c>
    </row>
    <row r="19">
      <c r="A19" t="inlineStr">
        <is>
          <t>M3 – Queue Method 1</t>
        </is>
      </c>
      <c r="B19" s="6">
        <f>AVERAGEIF('Module Audit'!C2:C77,A19,'Module Audit'!F2:F77)</f>
        <v/>
      </c>
      <c r="C19">
        <f>COUNTIF('Module Audit'!C2:C77,A19)</f>
        <v/>
      </c>
    </row>
    <row r="20">
      <c r="A20" t="inlineStr">
        <is>
          <t>M4 – Queue Method 2</t>
        </is>
      </c>
      <c r="B20" s="6">
        <f>AVERAGEIF('Module Audit'!C2:C77,A20,'Module Audit'!F2:F77)</f>
        <v/>
      </c>
      <c r="C20">
        <f>COUNTIF('Module Audit'!C2:C77,A20)</f>
        <v/>
      </c>
    </row>
    <row r="21">
      <c r="A21" t="inlineStr">
        <is>
          <t>M5 – Queue Method 3</t>
        </is>
      </c>
      <c r="B21" s="6">
        <f>AVERAGEIF('Module Audit'!C2:C77,A21,'Module Audit'!F2:F77)</f>
        <v/>
      </c>
      <c r="C21">
        <f>COUNTIF('Module Audit'!C2:C77,A21)</f>
        <v/>
      </c>
    </row>
    <row r="22">
      <c r="A22" t="inlineStr">
        <is>
          <t>M6 – Queue Method 4</t>
        </is>
      </c>
      <c r="B22" s="6">
        <f>AVERAGEIF('Module Audit'!C2:C77,A22,'Module Audit'!F2:F77)</f>
        <v/>
      </c>
      <c r="C22">
        <f>COUNTIF('Module Audit'!C2:C77,A22)</f>
        <v/>
      </c>
    </row>
    <row r="23">
      <c r="A23" t="inlineStr">
        <is>
          <t>M7 – KOT Kiosk</t>
        </is>
      </c>
      <c r="B23" s="6">
        <f>AVERAGEIF('Module Audit'!C2:C77,A23,'Module Audit'!F2:F77)</f>
        <v/>
      </c>
      <c r="C23">
        <f>COUNTIF('Module Audit'!C2:C77,A23)</f>
        <v/>
      </c>
    </row>
    <row r="24">
      <c r="A24" t="inlineStr">
        <is>
          <t>M8 – Notifications &amp; Alerts</t>
        </is>
      </c>
      <c r="B24" s="6">
        <f>AVERAGEIF('Module Audit'!C2:C77,A24,'Module Audit'!F2:F77)</f>
        <v/>
      </c>
      <c r="C24">
        <f>COUNTIF('Module Audit'!C2:C77,A24)</f>
        <v/>
      </c>
    </row>
    <row r="25">
      <c r="A25" t="inlineStr">
        <is>
          <t>M9 – Analytics &amp; Reporting</t>
        </is>
      </c>
      <c r="B25" s="6">
        <f>AVERAGEIF('Module Audit'!C2:C77,A25,'Module Audit'!F2:F77)</f>
        <v/>
      </c>
      <c r="C25">
        <f>COUNTIF('Module Audit'!C2:C77,A25)</f>
        <v/>
      </c>
    </row>
    <row r="28">
      <c r="A28" s="4" t="inlineStr">
        <is>
          <t>Priority</t>
        </is>
      </c>
      <c r="B28" s="4" t="inlineStr">
        <is>
          <t>% Complete (weighted)</t>
        </is>
      </c>
      <c r="C28" s="4" t="inlineStr">
        <is>
          <t>Count</t>
        </is>
      </c>
    </row>
    <row r="29">
      <c r="A29" s="11" t="inlineStr">
        <is>
          <t>Must</t>
        </is>
      </c>
      <c r="B29" s="6">
        <f>AVERAGEIF('Module Audit'!D2:D77,A29,'Module Audit'!F2:F77)</f>
        <v/>
      </c>
      <c r="C29">
        <f>COUNTIF('Module Audit'!D2:D77,A29)</f>
        <v/>
      </c>
    </row>
    <row r="30">
      <c r="A30" s="12" t="inlineStr">
        <is>
          <t>Should</t>
        </is>
      </c>
      <c r="B30" s="6">
        <f>AVERAGEIF('Module Audit'!D2:D77,A30,'Module Audit'!F2:F77)</f>
        <v/>
      </c>
      <c r="C30">
        <f>COUNTIF('Module Audit'!D2:D77,A30)</f>
        <v/>
      </c>
    </row>
    <row r="31">
      <c r="A31" s="13" t="inlineStr">
        <is>
          <t>Could</t>
        </is>
      </c>
      <c r="B31" s="6">
        <f>AVERAGEIF('Module Audit'!D2:D77,A31,'Module Audit'!F2:F77)</f>
        <v/>
      </c>
      <c r="C31">
        <f>COUNTIF('Module Audit'!D2:D77,A31)</f>
        <v/>
      </c>
    </row>
    <row r="34">
      <c r="A34" s="2" t="inlineStr">
        <is>
          <t>Top Blockers – Must-Priority Items (Worst Shape First)</t>
        </is>
      </c>
    </row>
    <row r="35">
      <c r="A35" s="4" t="inlineStr">
        <is>
          <t>ID</t>
        </is>
      </c>
      <c r="B35" s="4" t="inlineStr">
        <is>
          <t>Feature</t>
        </is>
      </c>
      <c r="C35" s="4" t="inlineStr">
        <is>
          <t>Status</t>
        </is>
      </c>
      <c r="D35" s="4" t="inlineStr">
        <is>
          <t>Blocker</t>
        </is>
      </c>
    </row>
    <row r="36">
      <c r="A36" t="inlineStr">
        <is>
          <t>M11-04</t>
        </is>
      </c>
      <c r="B36" t="inlineStr">
        <is>
          <t>Password Reset / Forgot Password</t>
        </is>
      </c>
      <c r="C36" s="8" t="inlineStr">
        <is>
          <t>Scaffolded</t>
        </is>
      </c>
      <c r="D36" t="inlineStr">
        <is>
          <t>No backend reset endpoint; no token-based reset flow; email backend is console anyway</t>
        </is>
      </c>
    </row>
    <row r="37">
      <c r="A37" t="inlineStr">
        <is>
          <t>M1-04</t>
        </is>
      </c>
      <c r="B37" t="inlineStr">
        <is>
          <t>Stripe Checkout / Payment Integration</t>
        </is>
      </c>
      <c r="C37" s="7" t="inlineStr">
        <is>
          <t>Partially Working</t>
        </is>
      </c>
      <c r="D37" t="inlineStr">
        <is>
          <t>STRIPE_SECRET_KEY not in .env; StripeSimulatorView exists as sandbox fallback</t>
        </is>
      </c>
    </row>
    <row r="38">
      <c r="A38" t="inlineStr">
        <is>
          <t>M5-01</t>
        </is>
      </c>
      <c r="B38" t="inlineStr">
        <is>
          <t>Full-Screen Live Display Board (Now Serving)</t>
        </is>
      </c>
      <c r="C38" s="7" t="inlineStr">
        <is>
          <t>Partially Working</t>
        </is>
      </c>
      <c r="D38" t="inlineStr">
        <is>
          <t>display/views.py is empty (4 lines, no implementation). PublicDisplayView is in queuing/views.py but display app has no routes registered</t>
        </is>
      </c>
    </row>
    <row r="39">
      <c r="A39" t="inlineStr">
        <is>
          <t>M5-02</t>
        </is>
      </c>
      <c r="B39" t="inlineStr">
        <is>
          <t>Real-time Token Flip (WebSocket on display board)</t>
        </is>
      </c>
      <c r="C39" s="7" t="inlineStr">
        <is>
          <t>Partially Working</t>
        </is>
      </c>
      <c r="D39" t="inlineStr">
        <is>
          <t>Cannot confirm WS connection succeeds without runtime test</t>
        </is>
      </c>
    </row>
    <row r="40">
      <c r="A40" t="inlineStr">
        <is>
          <t>M8-03</t>
        </is>
      </c>
      <c r="B40" t="inlineStr">
        <is>
          <t>Automated Alert Checks (Celery periodic tasks)</t>
        </is>
      </c>
      <c r="C40" s="7" t="inlineStr">
        <is>
          <t>Partially Working</t>
        </is>
      </c>
      <c r="D40" t="inlineStr">
        <is>
          <t>Celery broker defaults to memory:// – tasks not durable; no Celery worker running in dev setup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4" customWidth="1" min="3" max="3"/>
    <col width="9" customWidth="1" min="4" max="4"/>
    <col width="18" customWidth="1" min="5" max="5"/>
    <col width="9" customWidth="1" min="6" max="6"/>
    <col width="42" customWidth="1" min="7" max="7"/>
    <col width="36" customWidth="1" min="8" max="8"/>
    <col width="12" customWidth="1" min="9" max="9"/>
    <col width="18" customWidth="1" min="10" max="10"/>
    <col width="12" customWidth="1" min="11" max="11"/>
    <col width="46" customWidth="1" min="12" max="12"/>
    <col width="40" customWidth="1" min="13" max="13"/>
  </cols>
  <sheetData>
    <row r="1" ht="32" customHeight="1">
      <c r="A1" s="14" t="inlineStr">
        <is>
          <t>ID</t>
        </is>
      </c>
      <c r="B1" s="14" t="inlineStr">
        <is>
          <t>Feature</t>
        </is>
      </c>
      <c r="C1" s="14" t="inlineStr">
        <is>
          <t>Module Group</t>
        </is>
      </c>
      <c r="D1" s="14" t="inlineStr">
        <is>
          <t>Priority</t>
        </is>
      </c>
      <c r="E1" s="14" t="inlineStr">
        <is>
          <t>Status</t>
        </is>
      </c>
      <c r="F1" s="14" t="inlineStr">
        <is>
          <t>% Complete</t>
        </is>
      </c>
      <c r="G1" s="14" t="inlineStr">
        <is>
          <t>Backend Evidence</t>
        </is>
      </c>
      <c r="H1" s="14" t="inlineStr">
        <is>
          <t>Frontend Evidence</t>
        </is>
      </c>
      <c r="I1" s="14" t="inlineStr">
        <is>
          <t>End-to-End Wired?</t>
        </is>
      </c>
      <c r="J1" s="14" t="inlineStr">
        <is>
          <t>Tested?</t>
        </is>
      </c>
      <c r="K1" s="14" t="inlineStr">
        <is>
          <t>Confidence</t>
        </is>
      </c>
      <c r="L1" s="14" t="inlineStr">
        <is>
          <t>Blockers</t>
        </is>
      </c>
      <c r="M1" s="14" t="inlineStr">
        <is>
          <t>Next Step to Close Gap</t>
        </is>
      </c>
    </row>
    <row r="2" ht="52" customHeight="1">
      <c r="A2" s="15" t="inlineStr">
        <is>
          <t>M0-01</t>
        </is>
      </c>
      <c r="B2" s="15" t="inlineStr">
        <is>
          <t>Django Project Setup &amp; ASGI Config</t>
        </is>
      </c>
      <c r="C2" s="15" t="inlineStr">
        <is>
          <t>M0 – Platform Foundation</t>
        </is>
      </c>
      <c r="D2" s="16" t="inlineStr">
        <is>
          <t>Must</t>
        </is>
      </c>
      <c r="E2" s="17" t="inlineStr">
        <is>
          <t>Fully Working</t>
        </is>
      </c>
      <c r="F2" s="18" t="n">
        <v>100</v>
      </c>
      <c r="G2" s="15" t="inlineStr">
        <is>
          <t>backend/queuing_solutions/settings.py; asgi.py</t>
        </is>
      </c>
      <c r="H2" s="15" t="inlineStr">
        <is>
          <t>N/A</t>
        </is>
      </c>
      <c r="I2" s="15" t="inlineStr">
        <is>
          <t>Y</t>
        </is>
      </c>
      <c r="J2" s="15" t="inlineStr">
        <is>
          <t>Y – test_phase1.py</t>
        </is>
      </c>
      <c r="K2" s="15" t="inlineStr">
        <is>
          <t>High</t>
        </is>
      </c>
      <c r="L2" s="15" t="inlineStr">
        <is>
          <t>None</t>
        </is>
      </c>
      <c r="M2" s="15" t="inlineStr">
        <is>
          <t>—</t>
        </is>
      </c>
    </row>
    <row r="3" ht="52" customHeight="1">
      <c r="A3" s="15" t="inlineStr">
        <is>
          <t>M0-02</t>
        </is>
      </c>
      <c r="B3" s="15" t="inlineStr">
        <is>
          <t>MySQL/MariaDB Database &amp; Migrations</t>
        </is>
      </c>
      <c r="C3" s="15" t="inlineStr">
        <is>
          <t>M0 – Platform Foundation</t>
        </is>
      </c>
      <c r="D3" s="16" t="inlineStr">
        <is>
          <t>Must</t>
        </is>
      </c>
      <c r="E3" s="17" t="inlineStr">
        <is>
          <t>Fully Working</t>
        </is>
      </c>
      <c r="F3" s="18" t="n">
        <v>100</v>
      </c>
      <c r="G3" s="15" t="inlineStr">
        <is>
          <t>backend/queuing_solutions/settings.py; 9 migration dirs</t>
        </is>
      </c>
      <c r="H3" s="15" t="inlineStr">
        <is>
          <t>N/A</t>
        </is>
      </c>
      <c r="I3" s="15" t="inlineStr">
        <is>
          <t>Y</t>
        </is>
      </c>
      <c r="J3" s="15" t="inlineStr">
        <is>
          <t>Y – test_models.py</t>
        </is>
      </c>
      <c r="K3" s="15" t="inlineStr">
        <is>
          <t>High</t>
        </is>
      </c>
      <c r="L3" s="15" t="inlineStr">
        <is>
          <t>MariaDB version-check monkey-patched (settings.py:17)</t>
        </is>
      </c>
      <c r="M3" s="15" t="inlineStr">
        <is>
          <t>Upgrade XAMPP/MariaDB to ≥10.5 to remove monkey-patch</t>
        </is>
      </c>
    </row>
    <row r="4" ht="52" customHeight="1">
      <c r="A4" s="15" t="inlineStr">
        <is>
          <t>M0-03</t>
        </is>
      </c>
      <c r="B4" s="15" t="inlineStr">
        <is>
          <t>JWT Authentication (Login / Logout / Refresh)</t>
        </is>
      </c>
      <c r="C4" s="15" t="inlineStr">
        <is>
          <t>M0 – Platform Foundation</t>
        </is>
      </c>
      <c r="D4" s="16" t="inlineStr">
        <is>
          <t>Must</t>
        </is>
      </c>
      <c r="E4" s="17" t="inlineStr">
        <is>
          <t>Fully Working</t>
        </is>
      </c>
      <c r="F4" s="18" t="n">
        <v>100</v>
      </c>
      <c r="G4" s="15" t="inlineStr">
        <is>
          <t>accounts/views.py – CustomTokenObtainPairView, LogoutView; /api/auth/login|logout|refresh</t>
        </is>
      </c>
      <c r="H4" s="15" t="inlineStr">
        <is>
          <t>src/routes/login.tsx; src/lib/quesole/store.tsx:signIn()</t>
        </is>
      </c>
      <c r="I4" s="15" t="inlineStr">
        <is>
          <t>Y</t>
        </is>
      </c>
      <c r="J4" s="15" t="inlineStr">
        <is>
          <t>Y – test_auth.py (5 tests pass)</t>
        </is>
      </c>
      <c r="K4" s="15" t="inlineStr">
        <is>
          <t>High</t>
        </is>
      </c>
      <c r="L4" s="15" t="inlineStr">
        <is>
          <t>None</t>
        </is>
      </c>
      <c r="M4" s="15" t="inlineStr">
        <is>
          <t>—</t>
        </is>
      </c>
    </row>
    <row r="5" ht="52" customHeight="1">
      <c r="A5" s="15" t="inlineStr">
        <is>
          <t>M0-04</t>
        </is>
      </c>
      <c r="B5" s="15" t="inlineStr">
        <is>
          <t>Role-Based Access Control (RBAC)</t>
        </is>
      </c>
      <c r="C5" s="15" t="inlineStr">
        <is>
          <t>M0 – Platform Foundation</t>
        </is>
      </c>
      <c r="D5" s="16" t="inlineStr">
        <is>
          <t>Must</t>
        </is>
      </c>
      <c r="E5" s="17" t="inlineStr">
        <is>
          <t>Fully Working</t>
        </is>
      </c>
      <c r="F5" s="18" t="n">
        <v>100</v>
      </c>
      <c r="G5" s="15" t="inlineStr">
        <is>
          <t>core/permissions.py – IsSuperAdmin, IsCompanyAdmin, IsBranchAdmin, IsDeskStaff</t>
        </is>
      </c>
      <c r="H5" s="15" t="inlineStr">
        <is>
          <t>src/routes/app.tsx – role-gated nav; src/lib/quesole/store.tsx</t>
        </is>
      </c>
      <c r="I5" s="15" t="inlineStr">
        <is>
          <t>Y</t>
        </is>
      </c>
      <c r="J5" s="15" t="inlineStr">
        <is>
          <t>Y – test_rbac.py (passes)</t>
        </is>
      </c>
      <c r="K5" s="15" t="inlineStr">
        <is>
          <t>High</t>
        </is>
      </c>
      <c r="L5" s="15" t="inlineStr">
        <is>
          <t>None</t>
        </is>
      </c>
      <c r="M5" s="15" t="inlineStr">
        <is>
          <t>—</t>
        </is>
      </c>
    </row>
    <row r="6" ht="52" customHeight="1">
      <c r="A6" s="15" t="inlineStr">
        <is>
          <t>M0-05</t>
        </is>
      </c>
      <c r="B6" s="15" t="inlineStr">
        <is>
          <t>Multi-Tenant Isolation (company-scoped querysets)</t>
        </is>
      </c>
      <c r="C6" s="15" t="inlineStr">
        <is>
          <t>M0 – Platform Foundation</t>
        </is>
      </c>
      <c r="D6" s="16" t="inlineStr">
        <is>
          <t>Must</t>
        </is>
      </c>
      <c r="E6" s="17" t="inlineStr">
        <is>
          <t>Fully Working</t>
        </is>
      </c>
      <c r="F6" s="18" t="n">
        <v>100</v>
      </c>
      <c r="G6" s="15" t="inlineStr">
        <is>
          <t>core/managers.py – TenantManager applied to all models</t>
        </is>
      </c>
      <c r="H6" s="15" t="inlineStr">
        <is>
          <t>store.tsx filters by session.companyId</t>
        </is>
      </c>
      <c r="I6" s="15" t="inlineStr">
        <is>
          <t>Y</t>
        </is>
      </c>
      <c r="J6" s="15" t="inlineStr">
        <is>
          <t>Y – test_tenant_isolation.py (3 pass)</t>
        </is>
      </c>
      <c r="K6" s="15" t="inlineStr">
        <is>
          <t>High</t>
        </is>
      </c>
      <c r="L6" s="15" t="inlineStr">
        <is>
          <t>None</t>
        </is>
      </c>
      <c r="M6" s="15" t="inlineStr">
        <is>
          <t>—</t>
        </is>
      </c>
    </row>
    <row r="7" ht="52" customHeight="1">
      <c r="A7" s="15" t="inlineStr">
        <is>
          <t>M0-06</t>
        </is>
      </c>
      <c r="B7" s="15" t="inlineStr">
        <is>
          <t>WebSocket / Django Channels (Real-time)</t>
        </is>
      </c>
      <c r="C7" s="15" t="inlineStr">
        <is>
          <t>M0 – Platform Foundation</t>
        </is>
      </c>
      <c r="D7" s="16" t="inlineStr">
        <is>
          <t>Must</t>
        </is>
      </c>
      <c r="E7" s="17" t="inlineStr">
        <is>
          <t>Fully Working</t>
        </is>
      </c>
      <c r="F7" s="18" t="n">
        <v>100</v>
      </c>
      <c r="G7" s="15" t="inlineStr">
        <is>
          <t>core/consumers.py – QueueConsumer; queuing/views.py:broadcast_queue_update()</t>
        </is>
      </c>
      <c r="H7" s="15" t="inlineStr">
        <is>
          <t>store.tsx:593 – ws://hostname:8000/ws/branch/…</t>
        </is>
      </c>
      <c r="I7" s="15" t="inlineStr">
        <is>
          <t>Y</t>
        </is>
      </c>
      <c r="J7" s="15" t="inlineStr">
        <is>
          <t>Y – test_websocket.py; test_phase2.py::test_websocket_pii_segregation</t>
        </is>
      </c>
      <c r="K7" s="15" t="inlineStr">
        <is>
          <t>High</t>
        </is>
      </c>
      <c r="L7" s="15" t="inlineStr">
        <is>
          <t>InMemoryChannelLayer used (no Redis configured) – not suitable for multi-process prod</t>
        </is>
      </c>
      <c r="M7" s="15" t="inlineStr">
        <is>
          <t>Set REDIS_URL env var to switch to RedisChannelLayer</t>
        </is>
      </c>
    </row>
    <row r="8" ht="52" customHeight="1">
      <c r="A8" s="15" t="inlineStr">
        <is>
          <t>M0-07</t>
        </is>
      </c>
      <c r="B8" s="15" t="inlineStr">
        <is>
          <t>Health-check endpoint</t>
        </is>
      </c>
      <c r="C8" s="15" t="inlineStr">
        <is>
          <t>M0 – Platform Foundation</t>
        </is>
      </c>
      <c r="D8" s="19" t="inlineStr">
        <is>
          <t>Should</t>
        </is>
      </c>
      <c r="E8" s="17" t="inlineStr">
        <is>
          <t>Fully Working</t>
        </is>
      </c>
      <c r="F8" s="18" t="n">
        <v>100</v>
      </c>
      <c r="G8" s="15" t="inlineStr">
        <is>
          <t>core/views.py:healthz; /healthz</t>
        </is>
      </c>
      <c r="H8" s="15" t="inlineStr">
        <is>
          <t>N/A</t>
        </is>
      </c>
      <c r="I8" s="15" t="inlineStr">
        <is>
          <t>Y</t>
        </is>
      </c>
      <c r="J8" s="15" t="inlineStr">
        <is>
          <t>N</t>
        </is>
      </c>
      <c r="K8" s="15" t="inlineStr">
        <is>
          <t>High</t>
        </is>
      </c>
      <c r="L8" s="15" t="inlineStr">
        <is>
          <t>None</t>
        </is>
      </c>
      <c r="M8" s="15" t="inlineStr">
        <is>
          <t>Add a smoke test</t>
        </is>
      </c>
    </row>
    <row r="9" ht="52" customHeight="1">
      <c r="A9" s="15" t="inlineStr">
        <is>
          <t>M0-08</t>
        </is>
      </c>
      <c r="B9" s="15" t="inlineStr">
        <is>
          <t>Audit Log (AuditLog model + write)</t>
        </is>
      </c>
      <c r="C9" s="15" t="inlineStr">
        <is>
          <t>M0 – Platform Foundation</t>
        </is>
      </c>
      <c r="D9" s="19" t="inlineStr">
        <is>
          <t>Should</t>
        </is>
      </c>
      <c r="E9" s="17" t="inlineStr">
        <is>
          <t>Fully Working</t>
        </is>
      </c>
      <c r="F9" s="18" t="n">
        <v>100</v>
      </c>
      <c r="G9" s="15" t="inlineStr">
        <is>
          <t>audit/models.py; audit/utils.py:log_audit(); /api/audit-logs/</t>
        </is>
      </c>
      <c r="H9" s="15" t="inlineStr">
        <is>
          <t>super-admin.tsx renders audit log tab</t>
        </is>
      </c>
      <c r="I9" s="15" t="inlineStr">
        <is>
          <t>Y</t>
        </is>
      </c>
      <c r="J9" s="15" t="inlineStr">
        <is>
          <t>N – unit tests not found for audit</t>
        </is>
      </c>
      <c r="K9" s="15" t="inlineStr">
        <is>
          <t>Medium</t>
        </is>
      </c>
      <c r="L9" s="15" t="inlineStr">
        <is>
          <t>No dedicated audit tests</t>
        </is>
      </c>
      <c r="M9" s="15" t="inlineStr">
        <is>
          <t>Add test_audit.py</t>
        </is>
      </c>
    </row>
    <row r="10" ht="52" customHeight="1">
      <c r="A10" s="15" t="inlineStr">
        <is>
          <t>M0-09</t>
        </is>
      </c>
      <c r="B10" s="15" t="inlineStr">
        <is>
          <t>API Schema / Swagger Docs</t>
        </is>
      </c>
      <c r="C10" s="15" t="inlineStr">
        <is>
          <t>M0 – Platform Foundation</t>
        </is>
      </c>
      <c r="D10" s="20" t="inlineStr">
        <is>
          <t>Could</t>
        </is>
      </c>
      <c r="E10" s="17" t="inlineStr">
        <is>
          <t>Fully Working</t>
        </is>
      </c>
      <c r="F10" s="18" t="n">
        <v>100</v>
      </c>
      <c r="G10" s="15" t="inlineStr">
        <is>
          <t>drf_spectacular; /api/schema/ /api/docs/ /api/redoc/</t>
        </is>
      </c>
      <c r="H10" s="15" t="inlineStr">
        <is>
          <t>N/A</t>
        </is>
      </c>
      <c r="I10" s="15" t="inlineStr">
        <is>
          <t>Y</t>
        </is>
      </c>
      <c r="J10" s="15" t="inlineStr">
        <is>
          <t>N</t>
        </is>
      </c>
      <c r="K10" s="15" t="inlineStr">
        <is>
          <t>High</t>
        </is>
      </c>
      <c r="L10" s="15" t="inlineStr">
        <is>
          <t>None</t>
        </is>
      </c>
      <c r="M10" s="15" t="inlineStr">
        <is>
          <t>—</t>
        </is>
      </c>
    </row>
    <row r="11" ht="52" customHeight="1">
      <c r="A11" s="15" t="inlineStr">
        <is>
          <t>M0-10</t>
        </is>
      </c>
      <c r="B11" s="15" t="inlineStr">
        <is>
          <t>Prometheus Metrics</t>
        </is>
      </c>
      <c r="C11" s="15" t="inlineStr">
        <is>
          <t>M0 – Platform Foundation</t>
        </is>
      </c>
      <c r="D11" s="20" t="inlineStr">
        <is>
          <t>Could</t>
        </is>
      </c>
      <c r="E11" s="17" t="inlineStr">
        <is>
          <t>Fully Working</t>
        </is>
      </c>
      <c r="F11" s="18" t="n">
        <v>100</v>
      </c>
      <c r="G11" s="15" t="inlineStr">
        <is>
          <t>django_prometheus middleware; /metrics route</t>
        </is>
      </c>
      <c r="H11" s="15" t="inlineStr">
        <is>
          <t>N/A</t>
        </is>
      </c>
      <c r="I11" s="15" t="inlineStr">
        <is>
          <t>Y</t>
        </is>
      </c>
      <c r="J11" s="15" t="inlineStr">
        <is>
          <t>N</t>
        </is>
      </c>
      <c r="K11" s="15" t="inlineStr">
        <is>
          <t>Unverified</t>
        </is>
      </c>
      <c r="L11" s="15" t="inlineStr">
        <is>
          <t>Not verified at runtime</t>
        </is>
      </c>
      <c r="M11" s="15" t="inlineStr">
        <is>
          <t>Hit /metrics and confirm output</t>
        </is>
      </c>
    </row>
    <row r="12" ht="52" customHeight="1">
      <c r="A12" s="15" t="inlineStr">
        <is>
          <t>M1-01</t>
        </is>
      </c>
      <c r="B12" s="15" t="inlineStr">
        <is>
          <t>Company Registration (multi-step wizard)</t>
        </is>
      </c>
      <c r="C12" s="15" t="inlineStr">
        <is>
          <t>M1 – Company Onboarding</t>
        </is>
      </c>
      <c r="D12" s="16" t="inlineStr">
        <is>
          <t>Must</t>
        </is>
      </c>
      <c r="E12" s="17" t="inlineStr">
        <is>
          <t>Fully Working</t>
        </is>
      </c>
      <c r="F12" s="18" t="n">
        <v>100</v>
      </c>
      <c r="G12" s="15" t="inlineStr">
        <is>
          <t>companies/views.py:CompanyRegistrationView; POST /api/companies/register/</t>
        </is>
      </c>
      <c r="H12" s="15" t="inlineStr">
        <is>
          <t>src/routes/signup.tsx (multi-step wizard, 42 KB)</t>
        </is>
      </c>
      <c r="I12" s="15" t="inlineStr">
        <is>
          <t>Y</t>
        </is>
      </c>
      <c r="J12" s="15" t="inlineStr">
        <is>
          <t>Y – test_phase1.py</t>
        </is>
      </c>
      <c r="K12" s="15" t="inlineStr">
        <is>
          <t>High</t>
        </is>
      </c>
      <c r="L12" s="15" t="inlineStr">
        <is>
          <t>CAPTCHA is MOCK_CAPTCHA_TOKEN on frontend ($companySlug.tsx:187)</t>
        </is>
      </c>
      <c r="M12" s="15" t="inlineStr">
        <is>
          <t>Integrate real reCAPTCHA or hCaptcha</t>
        </is>
      </c>
    </row>
    <row r="13" ht="52" customHeight="1">
      <c r="A13" s="15" t="inlineStr">
        <is>
          <t>M1-02</t>
        </is>
      </c>
      <c r="B13" s="15" t="inlineStr">
        <is>
          <t>Subscription Package Selection (Starter/Standard/Advanced/Enterprise)</t>
        </is>
      </c>
      <c r="C13" s="15" t="inlineStr">
        <is>
          <t>M1 – Company Onboarding</t>
        </is>
      </c>
      <c r="D13" s="16" t="inlineStr">
        <is>
          <t>Must</t>
        </is>
      </c>
      <c r="E13" s="17" t="inlineStr">
        <is>
          <t>Fully Working</t>
        </is>
      </c>
      <c r="F13" s="18" t="n">
        <v>100</v>
      </c>
      <c r="G13" s="15" t="inlineStr">
        <is>
          <t>billing/models.py:Package; /api/packages/</t>
        </is>
      </c>
      <c r="H13" s="15" t="inlineStr">
        <is>
          <t>src/routes/signup.tsx – plan selection step; src/routes/pricing.tsx</t>
        </is>
      </c>
      <c r="I13" s="15" t="inlineStr">
        <is>
          <t>Y</t>
        </is>
      </c>
      <c r="J13" s="15" t="inlineStr">
        <is>
          <t>Y – test_entitlements.py</t>
        </is>
      </c>
      <c r="K13" s="15" t="inlineStr">
        <is>
          <t>High</t>
        </is>
      </c>
      <c r="L13" s="15" t="inlineStr">
        <is>
          <t>None</t>
        </is>
      </c>
      <c r="M13" s="15" t="inlineStr">
        <is>
          <t>—</t>
        </is>
      </c>
    </row>
    <row r="14" ht="52" customHeight="1">
      <c r="A14" s="15" t="inlineStr">
        <is>
          <t>M1-03</t>
        </is>
      </c>
      <c r="B14" s="15" t="inlineStr">
        <is>
          <t>Company Admin Account Creation on Signup</t>
        </is>
      </c>
      <c r="C14" s="15" t="inlineStr">
        <is>
          <t>M1 – Company Onboarding</t>
        </is>
      </c>
      <c r="D14" s="16" t="inlineStr">
        <is>
          <t>Must</t>
        </is>
      </c>
      <c r="E14" s="17" t="inlineStr">
        <is>
          <t>Fully Working</t>
        </is>
      </c>
      <c r="F14" s="18" t="n">
        <v>100</v>
      </c>
      <c r="G14" s="15" t="inlineStr">
        <is>
          <t>companies/views.py:CompanyRegistrationView creates User(role=company_admin)</t>
        </is>
      </c>
      <c r="H14" s="15" t="inlineStr">
        <is>
          <t>signup.tsx step 3 – Admin Credentials</t>
        </is>
      </c>
      <c r="I14" s="15" t="inlineStr">
        <is>
          <t>Y</t>
        </is>
      </c>
      <c r="J14" s="15" t="inlineStr">
        <is>
          <t>Y – test_phase1.py</t>
        </is>
      </c>
      <c r="K14" s="15" t="inlineStr">
        <is>
          <t>High</t>
        </is>
      </c>
      <c r="L14" s="15" t="inlineStr">
        <is>
          <t>None</t>
        </is>
      </c>
      <c r="M14" s="15" t="inlineStr">
        <is>
          <t>—</t>
        </is>
      </c>
    </row>
    <row r="15" ht="52" customHeight="1">
      <c r="A15" s="15" t="inlineStr">
        <is>
          <t>M1-04</t>
        </is>
      </c>
      <c r="B15" s="15" t="inlineStr">
        <is>
          <t>Stripe Checkout / Payment Integration</t>
        </is>
      </c>
      <c r="C15" s="15" t="inlineStr">
        <is>
          <t>M1 – Company Onboarding</t>
        </is>
      </c>
      <c r="D15" s="16" t="inlineStr">
        <is>
          <t>Must</t>
        </is>
      </c>
      <c r="E15" s="21" t="inlineStr">
        <is>
          <t>Partially Working</t>
        </is>
      </c>
      <c r="F15" s="18" t="n">
        <v>50</v>
      </c>
      <c r="G15" s="15" t="inlineStr">
        <is>
          <t>billing/views.py:CheckoutSessionView, StripeWebhookView; billing/stripe_helper.py</t>
        </is>
      </c>
      <c r="H15" s="15" t="inlineStr">
        <is>
          <t>signup.tsx – payment step with card fields; /api/billing/checkout/</t>
        </is>
      </c>
      <c r="I15" s="15" t="inlineStr">
        <is>
          <t>N</t>
        </is>
      </c>
      <c r="J15" s="15" t="inlineStr">
        <is>
          <t>N – no Stripe integration test</t>
        </is>
      </c>
      <c r="K15" s="15" t="inlineStr">
        <is>
          <t>Unverified</t>
        </is>
      </c>
      <c r="L15" s="15" t="inlineStr">
        <is>
          <t>STRIPE_SECRET_KEY not in .env; StripeSimulatorView exists as sandbox fallback</t>
        </is>
      </c>
      <c r="M15" s="15" t="inlineStr">
        <is>
          <t>Add STRIPE_SECRET_KEY env var; test with Stripe test keys</t>
        </is>
      </c>
    </row>
    <row r="16" ht="52" customHeight="1">
      <c r="A16" s="15" t="inlineStr">
        <is>
          <t>M1-05</t>
        </is>
      </c>
      <c r="B16" s="15" t="inlineStr">
        <is>
          <t>Super Admin Company Approval Queue</t>
        </is>
      </c>
      <c r="C16" s="15" t="inlineStr">
        <is>
          <t>M1 – Company Onboarding</t>
        </is>
      </c>
      <c r="D16" s="16" t="inlineStr">
        <is>
          <t>Must</t>
        </is>
      </c>
      <c r="E16" s="17" t="inlineStr">
        <is>
          <t>Fully Working</t>
        </is>
      </c>
      <c r="F16" s="18" t="n">
        <v>100</v>
      </c>
      <c r="G16" s="15" t="inlineStr">
        <is>
          <t>companies/views.py – CompanyViewSet with approve/reject actions; status field</t>
        </is>
      </c>
      <c r="H16" s="15" t="inlineStr">
        <is>
          <t>super-admin.tsx – companies view with approve/reject buttons</t>
        </is>
      </c>
      <c r="I16" s="15" t="inlineStr">
        <is>
          <t>Y</t>
        </is>
      </c>
      <c r="J16" s="15" t="inlineStr">
        <is>
          <t>Y – test_company_admin.py</t>
        </is>
      </c>
      <c r="K16" s="15" t="inlineStr">
        <is>
          <t>High</t>
        </is>
      </c>
      <c r="L16" s="15" t="inlineStr">
        <is>
          <t>None</t>
        </is>
      </c>
      <c r="M16" s="15" t="inlineStr">
        <is>
          <t>—</t>
        </is>
      </c>
    </row>
    <row r="17" ht="52" customHeight="1">
      <c r="A17" s="15" t="inlineStr">
        <is>
          <t>M1-06</t>
        </is>
      </c>
      <c r="B17" s="15" t="inlineStr">
        <is>
          <t>Upgrade Request Flow (company → super admin)</t>
        </is>
      </c>
      <c r="C17" s="15" t="inlineStr">
        <is>
          <t>M1 – Company Onboarding</t>
        </is>
      </c>
      <c r="D17" s="19" t="inlineStr">
        <is>
          <t>Should</t>
        </is>
      </c>
      <c r="E17" s="17" t="inlineStr">
        <is>
          <t>Fully Working</t>
        </is>
      </c>
      <c r="F17" s="18" t="n">
        <v>100</v>
      </c>
      <c r="G17" s="15" t="inlineStr">
        <is>
          <t>billing/models.py:UpgradeRequest; /api/upgrades/</t>
        </is>
      </c>
      <c r="H17" s="15" t="inlineStr">
        <is>
          <t>super-admin.tsx upgrade_requests view; company-admin.tsx upgrade CTA</t>
        </is>
      </c>
      <c r="I17" s="15" t="inlineStr">
        <is>
          <t>Y</t>
        </is>
      </c>
      <c r="J17" s="15" t="inlineStr">
        <is>
          <t>N</t>
        </is>
      </c>
      <c r="K17" s="15" t="inlineStr">
        <is>
          <t>Medium</t>
        </is>
      </c>
      <c r="L17" s="15" t="inlineStr">
        <is>
          <t>None</t>
        </is>
      </c>
      <c r="M17" s="15" t="inlineStr">
        <is>
          <t>Add upgrade request test</t>
        </is>
      </c>
    </row>
    <row r="18" ht="52" customHeight="1">
      <c r="A18" s="15" t="inlineStr">
        <is>
          <t>M1-07</t>
        </is>
      </c>
      <c r="B18" s="15" t="inlineStr">
        <is>
          <t>Invoice Generation &amp; PDF Download</t>
        </is>
      </c>
      <c r="C18" s="15" t="inlineStr">
        <is>
          <t>M1 – Company Onboarding</t>
        </is>
      </c>
      <c r="D18" s="19" t="inlineStr">
        <is>
          <t>Should</t>
        </is>
      </c>
      <c r="E18" s="21" t="inlineStr">
        <is>
          <t>Partially Working</t>
        </is>
      </c>
      <c r="F18" s="18" t="n">
        <v>50</v>
      </c>
      <c r="G18" s="15" t="inlineStr">
        <is>
          <t>billing/views.py:InvoiceViewSet, InvoiceDownloadView; /api/billing/invoices/{id}/download/</t>
        </is>
      </c>
      <c r="H18" s="15" t="inlineStr">
        <is>
          <t>company-admin.tsx – billing tab references invoices</t>
        </is>
      </c>
      <c r="I18" s="15" t="inlineStr">
        <is>
          <t>N</t>
        </is>
      </c>
      <c r="J18" s="15" t="inlineStr">
        <is>
          <t>Y – test_phase7.py covers invoice model</t>
        </is>
      </c>
      <c r="K18" s="15" t="inlineStr">
        <is>
          <t>Unverified</t>
        </is>
      </c>
      <c r="L18" s="15" t="inlineStr">
        <is>
          <t>PDF generation library (weasyprint/reportlab?) not verified in requirements.txt</t>
        </is>
      </c>
      <c r="M18" s="15" t="inlineStr">
        <is>
          <t>Check billing/views.py InvoiceDownloadView implementation; confirm PDF lib installed</t>
        </is>
      </c>
    </row>
    <row r="19" ht="52" customHeight="1">
      <c r="A19" s="15" t="inlineStr">
        <is>
          <t>M1-08</t>
        </is>
      </c>
      <c r="B19" s="15" t="inlineStr">
        <is>
          <t>Add-On Purchase (buy more desks/branches)</t>
        </is>
      </c>
      <c r="C19" s="15" t="inlineStr">
        <is>
          <t>M1 – Company Onboarding</t>
        </is>
      </c>
      <c r="D19" s="19" t="inlineStr">
        <is>
          <t>Should</t>
        </is>
      </c>
      <c r="E19" s="21" t="inlineStr">
        <is>
          <t>Partially Working</t>
        </is>
      </c>
      <c r="F19" s="18" t="n">
        <v>50</v>
      </c>
      <c r="G19" s="15" t="inlineStr">
        <is>
          <t>billing/views.py:BuyAddOnView, CheckoutUpgradeView; /api/billing/buy-addon/</t>
        </is>
      </c>
      <c r="H19" s="15" t="inlineStr">
        <is>
          <t>billing-plan-configurator.tsx (108 KB component)</t>
        </is>
      </c>
      <c r="I19" s="15" t="inlineStr">
        <is>
          <t>N</t>
        </is>
      </c>
      <c r="J19" s="15" t="inlineStr">
        <is>
          <t>N</t>
        </is>
      </c>
      <c r="K19" s="15" t="inlineStr">
        <is>
          <t>Unverified</t>
        </is>
      </c>
      <c r="L19" s="15" t="inlineStr">
        <is>
          <t>Depends on Stripe; no integration test</t>
        </is>
      </c>
      <c r="M19" s="15" t="inlineStr">
        <is>
          <t>Wire Stripe test keys and run manual flow</t>
        </is>
      </c>
    </row>
    <row r="20" ht="52" customHeight="1">
      <c r="A20" s="15" t="inlineStr">
        <is>
          <t>M1-09</t>
        </is>
      </c>
      <c r="B20" s="15" t="inlineStr">
        <is>
          <t>Itemised Plan Configurator (branch/desk/kiosk pricing)</t>
        </is>
      </c>
      <c r="C20" s="15" t="inlineStr">
        <is>
          <t>M1 – Company Onboarding</t>
        </is>
      </c>
      <c r="D20" s="20" t="inlineStr">
        <is>
          <t>Could</t>
        </is>
      </c>
      <c r="E20" s="17" t="inlineStr">
        <is>
          <t>Fully Working</t>
        </is>
      </c>
      <c r="F20" s="18" t="n">
        <v>100</v>
      </c>
      <c r="G20" s="15" t="inlineStr">
        <is>
          <t>billing/models.py:PlanComponent,CompanyPlanAllocation; /api/billing/plan-components/ /api/billing/allocations/</t>
        </is>
      </c>
      <c r="H20" s="15" t="inlineStr">
        <is>
          <t>src/components/console/billing-plan-configurator.tsx</t>
        </is>
      </c>
      <c r="I20" s="15" t="inlineStr">
        <is>
          <t>Y</t>
        </is>
      </c>
      <c r="J20" s="15" t="inlineStr">
        <is>
          <t>Y – test_phase7.py</t>
        </is>
      </c>
      <c r="K20" s="15" t="inlineStr">
        <is>
          <t>High</t>
        </is>
      </c>
      <c r="L20" s="15" t="inlineStr">
        <is>
          <t>None</t>
        </is>
      </c>
      <c r="M20" s="15" t="inlineStr">
        <is>
          <t>—</t>
        </is>
      </c>
    </row>
    <row r="21" ht="52" customHeight="1">
      <c r="A21" s="15" t="inlineStr">
        <is>
          <t>M2-01</t>
        </is>
      </c>
      <c r="B21" s="15" t="inlineStr">
        <is>
          <t>Branch CRUD (create/edit/archive)</t>
        </is>
      </c>
      <c r="C21" s="15" t="inlineStr">
        <is>
          <t>M2 – Branch &amp; Staff Management</t>
        </is>
      </c>
      <c r="D21" s="16" t="inlineStr">
        <is>
          <t>Must</t>
        </is>
      </c>
      <c r="E21" s="17" t="inlineStr">
        <is>
          <t>Fully Working</t>
        </is>
      </c>
      <c r="F21" s="18" t="n">
        <v>100</v>
      </c>
      <c r="G21" s="15" t="inlineStr">
        <is>
          <t>branches/views.py:BranchViewSet; /api/branches/</t>
        </is>
      </c>
      <c r="H21" s="15" t="inlineStr">
        <is>
          <t>company-admin.tsx – branch management tab</t>
        </is>
      </c>
      <c r="I21" s="15" t="inlineStr">
        <is>
          <t>Y</t>
        </is>
      </c>
      <c r="J21" s="15" t="inlineStr">
        <is>
          <t>Y – test_phase1.py</t>
        </is>
      </c>
      <c r="K21" s="15" t="inlineStr">
        <is>
          <t>High</t>
        </is>
      </c>
      <c r="L21" s="15" t="inlineStr">
        <is>
          <t>None</t>
        </is>
      </c>
      <c r="M21" s="15" t="inlineStr">
        <is>
          <t>—</t>
        </is>
      </c>
    </row>
    <row r="22" ht="52" customHeight="1">
      <c r="A22" s="15" t="inlineStr">
        <is>
          <t>M2-02</t>
        </is>
      </c>
      <c r="B22" s="15" t="inlineStr">
        <is>
          <t>Branch Seat / Plan Limit Enforcement</t>
        </is>
      </c>
      <c r="C22" s="15" t="inlineStr">
        <is>
          <t>M2 – Branch &amp; Staff Management</t>
        </is>
      </c>
      <c r="D22" s="16" t="inlineStr">
        <is>
          <t>Must</t>
        </is>
      </c>
      <c r="E22" s="17" t="inlineStr">
        <is>
          <t>Fully Working</t>
        </is>
      </c>
      <c r="F22" s="18" t="n">
        <v>100</v>
      </c>
      <c r="G22" s="15" t="inlineStr">
        <is>
          <t>branches/views.py:BranchViewSet.perform_create() checks max_branches; billing/models.py</t>
        </is>
      </c>
      <c r="H22" s="15" t="inlineStr">
        <is>
          <t>company-admin.tsx shows limit warnings</t>
        </is>
      </c>
      <c r="I22" s="15" t="inlineStr">
        <is>
          <t>Y</t>
        </is>
      </c>
      <c r="J22" s="15" t="inlineStr">
        <is>
          <t>Y – test_entitlements.py</t>
        </is>
      </c>
      <c r="K22" s="15" t="inlineStr">
        <is>
          <t>High</t>
        </is>
      </c>
      <c r="L22" s="15" t="inlineStr">
        <is>
          <t>None</t>
        </is>
      </c>
      <c r="M22" s="15" t="inlineStr">
        <is>
          <t>—</t>
        </is>
      </c>
    </row>
    <row r="23" ht="52" customHeight="1">
      <c r="A23" s="15" t="inlineStr">
        <is>
          <t>M2-03</t>
        </is>
      </c>
      <c r="B23" s="15" t="inlineStr">
        <is>
          <t>Staff User Invite System</t>
        </is>
      </c>
      <c r="C23" s="15" t="inlineStr">
        <is>
          <t>M2 – Branch &amp; Staff Management</t>
        </is>
      </c>
      <c r="D23" s="16" t="inlineStr">
        <is>
          <t>Must</t>
        </is>
      </c>
      <c r="E23" s="17" t="inlineStr">
        <is>
          <t>Fully Working</t>
        </is>
      </c>
      <c r="F23" s="18" t="n">
        <v>100</v>
      </c>
      <c r="G23" s="15" t="inlineStr">
        <is>
          <t>accounts/views.py:UserInviteViewSet; /api/invites/; InviteAcceptView</t>
        </is>
      </c>
      <c r="H23" s="15" t="inlineStr">
        <is>
          <t>company-admin.tsx – staff tab with invite modal</t>
        </is>
      </c>
      <c r="I23" s="15" t="inlineStr">
        <is>
          <t>Y</t>
        </is>
      </c>
      <c r="J23" s="15" t="inlineStr">
        <is>
          <t>Y – test_company_admin.py</t>
        </is>
      </c>
      <c r="K23" s="15" t="inlineStr">
        <is>
          <t>High</t>
        </is>
      </c>
      <c r="L23" s="15" t="inlineStr">
        <is>
          <t>Email invite delivery uses console backend (no SMTP configured)</t>
        </is>
      </c>
      <c r="M23" s="15" t="inlineStr">
        <is>
          <t>Configure SMTP or email provider in .env</t>
        </is>
      </c>
    </row>
    <row r="24" ht="52" customHeight="1">
      <c r="A24" s="15" t="inlineStr">
        <is>
          <t>M2-04</t>
        </is>
      </c>
      <c r="B24" s="15" t="inlineStr">
        <is>
          <t>Role Assignment (company_admin / branch_admin / desk_staff)</t>
        </is>
      </c>
      <c r="C24" s="15" t="inlineStr">
        <is>
          <t>M2 – Branch &amp; Staff Management</t>
        </is>
      </c>
      <c r="D24" s="16" t="inlineStr">
        <is>
          <t>Must</t>
        </is>
      </c>
      <c r="E24" s="17" t="inlineStr">
        <is>
          <t>Fully Working</t>
        </is>
      </c>
      <c r="F24" s="18" t="n">
        <v>100</v>
      </c>
      <c r="G24" s="15" t="inlineStr">
        <is>
          <t>accounts/models.py:User.role field; serializers enforce choices</t>
        </is>
      </c>
      <c r="H24" s="15" t="inlineStr">
        <is>
          <t>invite modal + staff edit; role-switcher in shell</t>
        </is>
      </c>
      <c r="I24" s="15" t="inlineStr">
        <is>
          <t>Y</t>
        </is>
      </c>
      <c r="J24" s="15" t="inlineStr">
        <is>
          <t>Y – test_rbac.py</t>
        </is>
      </c>
      <c r="K24" s="15" t="inlineStr">
        <is>
          <t>High</t>
        </is>
      </c>
      <c r="L24" s="15" t="inlineStr">
        <is>
          <t>None</t>
        </is>
      </c>
      <c r="M24" s="15" t="inlineStr">
        <is>
          <t>—</t>
        </is>
      </c>
    </row>
    <row r="25" ht="52" customHeight="1">
      <c r="A25" s="15" t="inlineStr">
        <is>
          <t>M2-05</t>
        </is>
      </c>
      <c r="B25" s="15" t="inlineStr">
        <is>
          <t>User Seat Limit Enforcement (max_users)</t>
        </is>
      </c>
      <c r="C25" s="15" t="inlineStr">
        <is>
          <t>M2 – Branch &amp; Staff Management</t>
        </is>
      </c>
      <c r="D25" s="16" t="inlineStr">
        <is>
          <t>Must</t>
        </is>
      </c>
      <c r="E25" s="17" t="inlineStr">
        <is>
          <t>Fully Working</t>
        </is>
      </c>
      <c r="F25" s="18" t="n">
        <v>100</v>
      </c>
      <c r="G25" s="15" t="inlineStr">
        <is>
          <t>accounts/views.py:UserInviteViewSet.perform_create() checks seat limit</t>
        </is>
      </c>
      <c r="H25" s="15" t="inlineStr">
        <is>
          <t>Shows error toast when limit hit</t>
        </is>
      </c>
      <c r="I25" s="15" t="inlineStr">
        <is>
          <t>Y</t>
        </is>
      </c>
      <c r="J25" s="15" t="inlineStr">
        <is>
          <t>Y – test_entitlements.py</t>
        </is>
      </c>
      <c r="K25" s="15" t="inlineStr">
        <is>
          <t>High</t>
        </is>
      </c>
      <c r="L25" s="15" t="inlineStr">
        <is>
          <t>None</t>
        </is>
      </c>
      <c r="M25" s="15" t="inlineStr">
        <is>
          <t>—</t>
        </is>
      </c>
    </row>
    <row r="26" ht="52" customHeight="1">
      <c r="A26" s="15" t="inlineStr">
        <is>
          <t>M2-06</t>
        </is>
      </c>
      <c r="B26" s="15" t="inlineStr">
        <is>
          <t>Desk CRUD + Service Assignment</t>
        </is>
      </c>
      <c r="C26" s="15" t="inlineStr">
        <is>
          <t>M2 – Branch &amp; Staff Management</t>
        </is>
      </c>
      <c r="D26" s="16" t="inlineStr">
        <is>
          <t>Must</t>
        </is>
      </c>
      <c r="E26" s="17" t="inlineStr">
        <is>
          <t>Fully Working</t>
        </is>
      </c>
      <c r="F26" s="18" t="n">
        <v>100</v>
      </c>
      <c r="G26" s="15" t="inlineStr">
        <is>
          <t>queuing/views.py:DeskViewSet,ServiceViewSet,DeskServiceViewSet; /api/desks/ /api/services/</t>
        </is>
      </c>
      <c r="H26" s="15" t="inlineStr">
        <is>
          <t>src/components/console/branch-desks-services.tsx (156 KB)</t>
        </is>
      </c>
      <c r="I26" s="15" t="inlineStr">
        <is>
          <t>Y</t>
        </is>
      </c>
      <c r="J26" s="15" t="inlineStr">
        <is>
          <t>Y – test_phase2.py</t>
        </is>
      </c>
      <c r="K26" s="15" t="inlineStr">
        <is>
          <t>High</t>
        </is>
      </c>
      <c r="L26" s="15" t="inlineStr">
        <is>
          <t>None</t>
        </is>
      </c>
      <c r="M26" s="15" t="inlineStr">
        <is>
          <t>—</t>
        </is>
      </c>
    </row>
    <row r="27" ht="52" customHeight="1">
      <c r="A27" s="15" t="inlineStr">
        <is>
          <t>M2-07</t>
        </is>
      </c>
      <c r="B27" s="15" t="inlineStr">
        <is>
          <t>Staff-to-Desk &amp; Staff-to-Service Assignment</t>
        </is>
      </c>
      <c r="C27" s="15" t="inlineStr">
        <is>
          <t>M2 – Branch &amp; Staff Management</t>
        </is>
      </c>
      <c r="D27" s="16" t="inlineStr">
        <is>
          <t>Must</t>
        </is>
      </c>
      <c r="E27" s="17" t="inlineStr">
        <is>
          <t>Fully Working</t>
        </is>
      </c>
      <c r="F27" s="18" t="n">
        <v>100</v>
      </c>
      <c r="G27" s="15" t="inlineStr">
        <is>
          <t>queuing/views.py:UserServiceViewSet,DeskStaffAssignmentViewSet; /api/user-services/ /api/desk-staff-assignments/</t>
        </is>
      </c>
      <c r="H27" s="15" t="inlineStr">
        <is>
          <t>branch-desks-services.tsx – staff assignment UI</t>
        </is>
      </c>
      <c r="I27" s="15" t="inlineStr">
        <is>
          <t>Y</t>
        </is>
      </c>
      <c r="J27" s="15" t="inlineStr">
        <is>
          <t>Y – test_phase2.py</t>
        </is>
      </c>
      <c r="K27" s="15" t="inlineStr">
        <is>
          <t>High</t>
        </is>
      </c>
      <c r="L27" s="15" t="inlineStr">
        <is>
          <t>None</t>
        </is>
      </c>
      <c r="M27" s="15" t="inlineStr">
        <is>
          <t>—</t>
        </is>
      </c>
    </row>
    <row r="28" ht="52" customHeight="1">
      <c r="A28" s="15" t="inlineStr">
        <is>
          <t>M2-08</t>
        </is>
      </c>
      <c r="B28" s="15" t="inlineStr">
        <is>
          <t>Branch Timezone Configuration</t>
        </is>
      </c>
      <c r="C28" s="15" t="inlineStr">
        <is>
          <t>M2 – Branch &amp; Staff Management</t>
        </is>
      </c>
      <c r="D28" s="19" t="inlineStr">
        <is>
          <t>Should</t>
        </is>
      </c>
      <c r="E28" s="17" t="inlineStr">
        <is>
          <t>Fully Working</t>
        </is>
      </c>
      <c r="F28" s="18" t="n">
        <v>100</v>
      </c>
      <c r="G28" s="15" t="inlineStr">
        <is>
          <t>branches/models.py:Branch.timezone field</t>
        </is>
      </c>
      <c r="H28" s="15" t="inlineStr">
        <is>
          <t>branch-console.tsx – settings tab</t>
        </is>
      </c>
      <c r="I28" s="15" t="inlineStr">
        <is>
          <t>Y</t>
        </is>
      </c>
      <c r="J28" s="15" t="inlineStr">
        <is>
          <t>N</t>
        </is>
      </c>
      <c r="K28" s="15" t="inlineStr">
        <is>
          <t>Medium</t>
        </is>
      </c>
      <c r="L28" s="15" t="inlineStr">
        <is>
          <t>None</t>
        </is>
      </c>
      <c r="M28" s="15" t="inlineStr">
        <is>
          <t>Add timezone-aware scheduling test</t>
        </is>
      </c>
    </row>
    <row r="29" ht="52" customHeight="1">
      <c r="A29" s="15" t="inlineStr">
        <is>
          <t>M3-01</t>
        </is>
      </c>
      <c r="B29" s="15" t="inlineStr">
        <is>
          <t>QR Code Generation per Branch/Method</t>
        </is>
      </c>
      <c r="C29" s="15" t="inlineStr">
        <is>
          <t>M3 – Queue Method 1</t>
        </is>
      </c>
      <c r="D29" s="16" t="inlineStr">
        <is>
          <t>Must</t>
        </is>
      </c>
      <c r="E29" s="17" t="inlineStr">
        <is>
          <t>Fully Working</t>
        </is>
      </c>
      <c r="F29" s="18" t="n">
        <v>100</v>
      </c>
      <c r="G29" s="15" t="inlineStr">
        <is>
          <t>queuing/views.py:QrCodeGenerateView; /api/branches/{id}/generate-qr/; qrcodes/ dir has SVG files</t>
        </is>
      </c>
      <c r="H29" s="15" t="inlineStr">
        <is>
          <t>branch-desks-services.tsx – QR code preview &amp; download</t>
        </is>
      </c>
      <c r="I29" s="15" t="inlineStr">
        <is>
          <t>Y</t>
        </is>
      </c>
      <c r="J29" s="15" t="inlineStr">
        <is>
          <t>Y – test_phase2.py</t>
        </is>
      </c>
      <c r="K29" s="15" t="inlineStr">
        <is>
          <t>High</t>
        </is>
      </c>
      <c r="L29" s="15" t="inlineStr">
        <is>
          <t>None</t>
        </is>
      </c>
      <c r="M29" s="15" t="inlineStr">
        <is>
          <t>—</t>
        </is>
      </c>
    </row>
    <row r="30" ht="52" customHeight="1">
      <c r="A30" s="15" t="inlineStr">
        <is>
          <t>M3-02</t>
        </is>
      </c>
      <c r="B30" s="15" t="inlineStr">
        <is>
          <t>Public QR Landing Page (customer joins queue)</t>
        </is>
      </c>
      <c r="C30" s="15" t="inlineStr">
        <is>
          <t>M3 – Queue Method 1</t>
        </is>
      </c>
      <c r="D30" s="16" t="inlineStr">
        <is>
          <t>Must</t>
        </is>
      </c>
      <c r="E30" s="17" t="inlineStr">
        <is>
          <t>Fully Working</t>
        </is>
      </c>
      <c r="F30" s="18" t="n">
        <v>100</v>
      </c>
      <c r="G30" s="15" t="inlineStr">
        <is>
          <t>queuing/views.py:PublicJoinQueueView; POST /api/public/join/</t>
        </is>
      </c>
      <c r="H30" s="15" t="inlineStr">
        <is>
          <t>src/routes/q.$branchId.tsx (18 KB)</t>
        </is>
      </c>
      <c r="I30" s="15" t="inlineStr">
        <is>
          <t>Y</t>
        </is>
      </c>
      <c r="J30" s="15" t="inlineStr">
        <is>
          <t>Y – test_phase2.py::test_public_join_queue</t>
        </is>
      </c>
      <c r="K30" s="15" t="inlineStr">
        <is>
          <t>High</t>
        </is>
      </c>
      <c r="L30" s="15" t="inlineStr">
        <is>
          <t>None</t>
        </is>
      </c>
      <c r="M30" s="15" t="inlineStr">
        <is>
          <t>—</t>
        </is>
      </c>
    </row>
    <row r="31" ht="52" customHeight="1">
      <c r="A31" s="15" t="inlineStr">
        <is>
          <t>M3-03</t>
        </is>
      </c>
      <c r="B31" s="15" t="inlineStr">
        <is>
          <t>Token Number Generation (sequential, prefix)</t>
        </is>
      </c>
      <c r="C31" s="15" t="inlineStr">
        <is>
          <t>M3 – Queue Method 1</t>
        </is>
      </c>
      <c r="D31" s="16" t="inlineStr">
        <is>
          <t>Must</t>
        </is>
      </c>
      <c r="E31" s="17" t="inlineStr">
        <is>
          <t>Fully Working</t>
        </is>
      </c>
      <c r="F31" s="18" t="n">
        <v>100</v>
      </c>
      <c r="G31" s="15" t="inlineStr">
        <is>
          <t>queuing/models.py:TokenSequence.get_next_sequence_number(); atomic select_for_update</t>
        </is>
      </c>
      <c r="H31" s="15" t="inlineStr">
        <is>
          <t>Token displayed after join</t>
        </is>
      </c>
      <c r="I31" s="15" t="inlineStr">
        <is>
          <t>Y</t>
        </is>
      </c>
      <c r="J31" s="15" t="inlineStr">
        <is>
          <t>Y – test_phase2.py</t>
        </is>
      </c>
      <c r="K31" s="15" t="inlineStr">
        <is>
          <t>High</t>
        </is>
      </c>
      <c r="L31" s="15" t="inlineStr">
        <is>
          <t>None</t>
        </is>
      </c>
      <c r="M31" s="15" t="inlineStr">
        <is>
          <t>—</t>
        </is>
      </c>
    </row>
    <row r="32" ht="52" customHeight="1">
      <c r="A32" s="15" t="inlineStr">
        <is>
          <t>M3-04</t>
        </is>
      </c>
      <c r="B32" s="15" t="inlineStr">
        <is>
          <t>Operator 'Call Next' Console</t>
        </is>
      </c>
      <c r="C32" s="15" t="inlineStr">
        <is>
          <t>M3 – Queue Method 1</t>
        </is>
      </c>
      <c r="D32" s="16" t="inlineStr">
        <is>
          <t>Must</t>
        </is>
      </c>
      <c r="E32" s="17" t="inlineStr">
        <is>
          <t>Fully Working</t>
        </is>
      </c>
      <c r="F32" s="18" t="n">
        <v>100</v>
      </c>
      <c r="G32" s="15" t="inlineStr">
        <is>
          <t>queuing/views.py:TicketViewSet call_next action; POST /api/tickets/call-next/</t>
        </is>
      </c>
      <c r="H32" s="15" t="inlineStr">
        <is>
          <t>src/routes/app.tsx – desk console tab; branch-console.tsx</t>
        </is>
      </c>
      <c r="I32" s="15" t="inlineStr">
        <is>
          <t>Y</t>
        </is>
      </c>
      <c r="J32" s="15" t="inlineStr">
        <is>
          <t>Y – test_phase2.py</t>
        </is>
      </c>
      <c r="K32" s="15" t="inlineStr">
        <is>
          <t>High</t>
        </is>
      </c>
      <c r="L32" s="15" t="inlineStr">
        <is>
          <t>None</t>
        </is>
      </c>
      <c r="M32" s="15" t="inlineStr">
        <is>
          <t>—</t>
        </is>
      </c>
    </row>
    <row r="33" ht="52" customHeight="1">
      <c r="A33" s="15" t="inlineStr">
        <is>
          <t>M3-05</t>
        </is>
      </c>
      <c r="B33" s="15" t="inlineStr">
        <is>
          <t>Ticket Actions (Serve / No-Show / Skip / Transfer / Hold / Cancel)</t>
        </is>
      </c>
      <c r="C33" s="15" t="inlineStr">
        <is>
          <t>M3 – Queue Method 1</t>
        </is>
      </c>
      <c r="D33" s="16" t="inlineStr">
        <is>
          <t>Must</t>
        </is>
      </c>
      <c r="E33" s="17" t="inlineStr">
        <is>
          <t>Fully Working</t>
        </is>
      </c>
      <c r="F33" s="18" t="n">
        <v>100</v>
      </c>
      <c r="G33" s="15" t="inlineStr">
        <is>
          <t>queuing/views.py:TicketViewSet action(); POST /api/tickets/{id}/action/</t>
        </is>
      </c>
      <c r="H33" s="15" t="inlineStr">
        <is>
          <t>branch-console.tsx – ticket action buttons</t>
        </is>
      </c>
      <c r="I33" s="15" t="inlineStr">
        <is>
          <t>Y</t>
        </is>
      </c>
      <c r="J33" s="15" t="inlineStr">
        <is>
          <t>Y – test_phase2.py</t>
        </is>
      </c>
      <c r="K33" s="15" t="inlineStr">
        <is>
          <t>High</t>
        </is>
      </c>
      <c r="L33" s="15" t="inlineStr">
        <is>
          <t>None</t>
        </is>
      </c>
      <c r="M33" s="15" t="inlineStr">
        <is>
          <t>—</t>
        </is>
      </c>
    </row>
    <row r="34" ht="52" customHeight="1">
      <c r="A34" s="15" t="inlineStr">
        <is>
          <t>M3-06</t>
        </is>
      </c>
      <c r="B34" s="15" t="inlineStr">
        <is>
          <t>Live Queue Tracking Page (customer)</t>
        </is>
      </c>
      <c r="C34" s="15" t="inlineStr">
        <is>
          <t>M3 – Queue Method 1</t>
        </is>
      </c>
      <c r="D34" s="16" t="inlineStr">
        <is>
          <t>Must</t>
        </is>
      </c>
      <c r="E34" s="17" t="inlineStr">
        <is>
          <t>Fully Working</t>
        </is>
      </c>
      <c r="F34" s="18" t="n">
        <v>100</v>
      </c>
      <c r="G34" s="15" t="inlineStr">
        <is>
          <t>queuing/views.py:PublicTicketDetailView; /api/public/ticket/{id}/</t>
        </is>
      </c>
      <c r="H34" s="15" t="inlineStr">
        <is>
          <t>src/routes/t.$ticketId.tsx (7 KB) – position + ETA</t>
        </is>
      </c>
      <c r="I34" s="15" t="inlineStr">
        <is>
          <t>Y</t>
        </is>
      </c>
      <c r="J34" s="15" t="inlineStr">
        <is>
          <t>N – no public tracking test</t>
        </is>
      </c>
      <c r="K34" s="15" t="inlineStr">
        <is>
          <t>Medium</t>
        </is>
      </c>
      <c r="L34" s="15" t="inlineStr">
        <is>
          <t>None</t>
        </is>
      </c>
      <c r="M34" s="15" t="inlineStr">
        <is>
          <t>Add test for public tracking endpoint</t>
        </is>
      </c>
    </row>
    <row r="35" ht="52" customHeight="1">
      <c r="A35" s="15" t="inlineStr">
        <is>
          <t>M3-07</t>
        </is>
      </c>
      <c r="B35" s="15" t="inlineStr">
        <is>
          <t>Geolocation Verification at Join</t>
        </is>
      </c>
      <c r="C35" s="15" t="inlineStr">
        <is>
          <t>M3 – Queue Method 1</t>
        </is>
      </c>
      <c r="D35" s="19" t="inlineStr">
        <is>
          <t>Should</t>
        </is>
      </c>
      <c r="E35" s="17" t="inlineStr">
        <is>
          <t>Fully Working</t>
        </is>
      </c>
      <c r="F35" s="18" t="n">
        <v>100</v>
      </c>
      <c r="G35" s="15" t="inlineStr">
        <is>
          <t>queuing/views.py:VerifyLocationView; POST /api/public/verify-location/</t>
        </is>
      </c>
      <c r="H35" s="15" t="inlineStr">
        <is>
          <t>q.$branchId.tsx – location permission prompt</t>
        </is>
      </c>
      <c r="I35" s="15" t="inlineStr">
        <is>
          <t>Y</t>
        </is>
      </c>
      <c r="J35" s="15" t="inlineStr">
        <is>
          <t>N</t>
        </is>
      </c>
      <c r="K35" s="15" t="inlineStr">
        <is>
          <t>Medium</t>
        </is>
      </c>
      <c r="L35" s="15" t="inlineStr">
        <is>
          <t>None</t>
        </is>
      </c>
      <c r="M35" s="15" t="inlineStr">
        <is>
          <t>Add location verification test</t>
        </is>
      </c>
    </row>
    <row r="36" ht="52" customHeight="1">
      <c r="A36" s="15" t="inlineStr">
        <is>
          <t>M3-08</t>
        </is>
      </c>
      <c r="B36" s="15" t="inlineStr">
        <is>
          <t>Ticket Note by Operator</t>
        </is>
      </c>
      <c r="C36" s="15" t="inlineStr">
        <is>
          <t>M3 – Queue Method 1</t>
        </is>
      </c>
      <c r="D36" s="19" t="inlineStr">
        <is>
          <t>Should</t>
        </is>
      </c>
      <c r="E36" s="17" t="inlineStr">
        <is>
          <t>Fully Working</t>
        </is>
      </c>
      <c r="F36" s="18" t="n">
        <v>100</v>
      </c>
      <c r="G36" s="15" t="inlineStr">
        <is>
          <t>queuing/models.py:TicketNote; queuing/views.py:TicketNoteSerializer</t>
        </is>
      </c>
      <c r="H36" s="15" t="inlineStr">
        <is>
          <t>branch-console.tsx – note input</t>
        </is>
      </c>
      <c r="I36" s="15" t="inlineStr">
        <is>
          <t>Y</t>
        </is>
      </c>
      <c r="J36" s="15" t="inlineStr">
        <is>
          <t>Y – test_phase2.py</t>
        </is>
      </c>
      <c r="K36" s="15" t="inlineStr">
        <is>
          <t>High</t>
        </is>
      </c>
      <c r="L36" s="15" t="inlineStr">
        <is>
          <t>None</t>
        </is>
      </c>
      <c r="M36" s="15" t="inlineStr">
        <is>
          <t>—</t>
        </is>
      </c>
    </row>
    <row r="37" ht="52" customHeight="1">
      <c r="A37" s="15" t="inlineStr">
        <is>
          <t>M3-09</t>
        </is>
      </c>
      <c r="B37" s="15" t="inlineStr">
        <is>
          <t>PII Encryption (customer phone)</t>
        </is>
      </c>
      <c r="C37" s="15" t="inlineStr">
        <is>
          <t>M3 – Queue Method 1</t>
        </is>
      </c>
      <c r="D37" s="16" t="inlineStr">
        <is>
          <t>Must</t>
        </is>
      </c>
      <c r="E37" s="17" t="inlineStr">
        <is>
          <t>Fully Working</t>
        </is>
      </c>
      <c r="F37" s="18" t="n">
        <v>100</v>
      </c>
      <c r="G37" s="15" t="inlineStr">
        <is>
          <t>queuing/models.py:Ticket.customer_phone = EncryptedCharField; blind index for search</t>
        </is>
      </c>
      <c r="H37" s="15" t="inlineStr">
        <is>
          <t>N/A (backend concern)</t>
        </is>
      </c>
      <c r="I37" s="15" t="inlineStr">
        <is>
          <t>Y</t>
        </is>
      </c>
      <c r="J37" s="15" t="inlineStr">
        <is>
          <t>Y – test_phase2.py::test_websocket_pii_segregation</t>
        </is>
      </c>
      <c r="K37" s="15" t="inlineStr">
        <is>
          <t>High</t>
        </is>
      </c>
      <c r="L37" s="15" t="inlineStr">
        <is>
          <t>FIELD_ENCRYPTION_KEY uses insecure default if not set in .env</t>
        </is>
      </c>
      <c r="M37" s="15" t="inlineStr">
        <is>
          <t>Set strong FIELD_ENCRYPTION_KEY in .env</t>
        </is>
      </c>
    </row>
    <row r="38" ht="52" customHeight="1">
      <c r="A38" s="15" t="inlineStr">
        <is>
          <t>M4-01</t>
        </is>
      </c>
      <c r="B38" s="15" t="inlineStr">
        <is>
          <t>Service-Based Queue Routing (auto-assign desk)</t>
        </is>
      </c>
      <c r="C38" s="15" t="inlineStr">
        <is>
          <t>M4 – Queue Method 2</t>
        </is>
      </c>
      <c r="D38" s="16" t="inlineStr">
        <is>
          <t>Must</t>
        </is>
      </c>
      <c r="E38" s="17" t="inlineStr">
        <is>
          <t>Fully Working</t>
        </is>
      </c>
      <c r="F38" s="18" t="n">
        <v>100</v>
      </c>
      <c r="G38" s="15" t="inlineStr">
        <is>
          <t>queuing/services/queue_routing.py – assign_predicted_desk_for_ticket(); Ticket.save() calls it</t>
        </is>
      </c>
      <c r="H38" s="15" t="inlineStr">
        <is>
          <t>q.$branchId.tsx – service selector</t>
        </is>
      </c>
      <c r="I38" s="15" t="inlineStr">
        <is>
          <t>Y</t>
        </is>
      </c>
      <c r="J38" s="15" t="inlineStr">
        <is>
          <t>Y – test_phase2.py</t>
        </is>
      </c>
      <c r="K38" s="15" t="inlineStr">
        <is>
          <t>High</t>
        </is>
      </c>
      <c r="L38" s="15" t="inlineStr">
        <is>
          <t>None</t>
        </is>
      </c>
      <c r="M38" s="15" t="inlineStr">
        <is>
          <t>—</t>
        </is>
      </c>
    </row>
    <row r="39" ht="52" customHeight="1">
      <c r="A39" s="15" t="inlineStr">
        <is>
          <t>M4-02</t>
        </is>
      </c>
      <c r="B39" s="15" t="inlineStr">
        <is>
          <t>Desk Deactivation → Ticket Redistribution</t>
        </is>
      </c>
      <c r="C39" s="15" t="inlineStr">
        <is>
          <t>M4 – Queue Method 2</t>
        </is>
      </c>
      <c r="D39" s="16" t="inlineStr">
        <is>
          <t>Must</t>
        </is>
      </c>
      <c r="E39" s="17" t="inlineStr">
        <is>
          <t>Fully Working</t>
        </is>
      </c>
      <c r="F39" s="18" t="n">
        <v>100</v>
      </c>
      <c r="G39" s="15" t="inlineStr">
        <is>
          <t>queuing/models.py:Desk.save() calls redistribute_tickets_for_deactivated_desk()</t>
        </is>
      </c>
      <c r="H39" s="15" t="inlineStr">
        <is>
          <t>N/A</t>
        </is>
      </c>
      <c r="I39" s="15" t="inlineStr">
        <is>
          <t>Y</t>
        </is>
      </c>
      <c r="J39" s="15" t="inlineStr">
        <is>
          <t>N</t>
        </is>
      </c>
      <c r="K39" s="15" t="inlineStr">
        <is>
          <t>Medium</t>
        </is>
      </c>
      <c r="L39" s="15" t="inlineStr">
        <is>
          <t>None</t>
        </is>
      </c>
      <c r="M39" s="15" t="inlineStr">
        <is>
          <t>Add desk deactivation redistribution test</t>
        </is>
      </c>
    </row>
    <row r="40" ht="52" customHeight="1">
      <c r="A40" s="15" t="inlineStr">
        <is>
          <t>M4-03</t>
        </is>
      </c>
      <c r="B40" s="15" t="inlineStr">
        <is>
          <t>Manual Ticket Issuance (counter staff)</t>
        </is>
      </c>
      <c r="C40" s="15" t="inlineStr">
        <is>
          <t>M4 – Queue Method 2</t>
        </is>
      </c>
      <c r="D40" s="19" t="inlineStr">
        <is>
          <t>Should</t>
        </is>
      </c>
      <c r="E40" s="17" t="inlineStr">
        <is>
          <t>Fully Working</t>
        </is>
      </c>
      <c r="F40" s="18" t="n">
        <v>100</v>
      </c>
      <c r="G40" s="15" t="inlineStr">
        <is>
          <t>queuing/views.py:ManualTicketIssueView; POST /api/tickets/manual-issue/</t>
        </is>
      </c>
      <c r="H40" s="15" t="inlineStr">
        <is>
          <t>branch-console.tsx – manual issue button</t>
        </is>
      </c>
      <c r="I40" s="15" t="inlineStr">
        <is>
          <t>Y</t>
        </is>
      </c>
      <c r="J40" s="15" t="inlineStr">
        <is>
          <t>N</t>
        </is>
      </c>
      <c r="K40" s="15" t="inlineStr">
        <is>
          <t>Medium</t>
        </is>
      </c>
      <c r="L40" s="15" t="inlineStr">
        <is>
          <t>None</t>
        </is>
      </c>
      <c r="M40" s="15" t="inlineStr">
        <is>
          <t>Add manual issue test</t>
        </is>
      </c>
    </row>
    <row r="41" ht="52" customHeight="1">
      <c r="A41" s="15" t="inlineStr">
        <is>
          <t>M5-01</t>
        </is>
      </c>
      <c r="B41" s="15" t="inlineStr">
        <is>
          <t>Full-Screen Live Display Board (Now Serving)</t>
        </is>
      </c>
      <c r="C41" s="15" t="inlineStr">
        <is>
          <t>M5 – Queue Method 3</t>
        </is>
      </c>
      <c r="D41" s="16" t="inlineStr">
        <is>
          <t>Must</t>
        </is>
      </c>
      <c r="E41" s="21" t="inlineStr">
        <is>
          <t>Partially Working</t>
        </is>
      </c>
      <c r="F41" s="18" t="n">
        <v>50</v>
      </c>
      <c r="G41" s="15" t="inlineStr">
        <is>
          <t>queuing/views.py:PublicDisplayView; /api/public/display/{branchId}/</t>
        </is>
      </c>
      <c r="H41" s="15" t="inlineStr">
        <is>
          <t>src/routes/display.$branchId.tsx (23 KB) – NOW SERVING flip animation</t>
        </is>
      </c>
      <c r="I41" s="15" t="inlineStr">
        <is>
          <t>N</t>
        </is>
      </c>
      <c r="J41" s="15" t="inlineStr">
        <is>
          <t>N</t>
        </is>
      </c>
      <c r="K41" s="15" t="inlineStr">
        <is>
          <t>Unverified</t>
        </is>
      </c>
      <c r="L41" s="15" t="inlineStr">
        <is>
          <t>display/views.py is empty (4 lines, no implementation). PublicDisplayView is in queuing/views.py but display app has no routes registered</t>
        </is>
      </c>
      <c r="M41" s="15" t="inlineStr">
        <is>
          <t>Wire display app URLs to main router; verify PublicDisplayView returns correct data</t>
        </is>
      </c>
    </row>
    <row r="42" ht="52" customHeight="1">
      <c r="A42" s="15" t="inlineStr">
        <is>
          <t>M5-02</t>
        </is>
      </c>
      <c r="B42" s="15" t="inlineStr">
        <is>
          <t>Real-time Token Flip (WebSocket on display board)</t>
        </is>
      </c>
      <c r="C42" s="15" t="inlineStr">
        <is>
          <t>M5 – Queue Method 3</t>
        </is>
      </c>
      <c r="D42" s="16" t="inlineStr">
        <is>
          <t>Must</t>
        </is>
      </c>
      <c r="E42" s="21" t="inlineStr">
        <is>
          <t>Partially Working</t>
        </is>
      </c>
      <c r="F42" s="18" t="n">
        <v>50</v>
      </c>
      <c r="G42" s="15" t="inlineStr">
        <is>
          <t>core/consumers.py:QueueConsumer broadcasts to branch_{id}_public group</t>
        </is>
      </c>
      <c r="H42" s="15" t="inlineStr">
        <is>
          <t>display.$branchId.tsx:325 opens ws://hostname:8000/ws/branch/{id}/public/</t>
        </is>
      </c>
      <c r="I42" s="15" t="inlineStr">
        <is>
          <t>N</t>
        </is>
      </c>
      <c r="J42" s="15" t="inlineStr">
        <is>
          <t>N</t>
        </is>
      </c>
      <c r="K42" s="15" t="inlineStr">
        <is>
          <t>Unverified</t>
        </is>
      </c>
      <c r="L42" s="15" t="inlineStr">
        <is>
          <t>Cannot confirm WS connection succeeds without runtime test</t>
        </is>
      </c>
      <c r="M42" s="15" t="inlineStr">
        <is>
          <t>Run display board in browser and verify WS connection</t>
        </is>
      </c>
    </row>
    <row r="43" ht="52" customHeight="1">
      <c r="A43" s="15" t="inlineStr">
        <is>
          <t>M6-01</t>
        </is>
      </c>
      <c r="B43" s="15" t="inlineStr">
        <is>
          <t>Public Appointment Booking Portal</t>
        </is>
      </c>
      <c r="C43" s="15" t="inlineStr">
        <is>
          <t>M6 – Queue Method 4</t>
        </is>
      </c>
      <c r="D43" s="16" t="inlineStr">
        <is>
          <t>Must</t>
        </is>
      </c>
      <c r="E43" s="17" t="inlineStr">
        <is>
          <t>Fully Working</t>
        </is>
      </c>
      <c r="F43" s="18" t="n">
        <v>100</v>
      </c>
      <c r="G43" s="15" t="inlineStr">
        <is>
          <t>appointments/views.py:AppointmentBookingView; POST /api/public/appointments/book/</t>
        </is>
      </c>
      <c r="H43" s="15" t="inlineStr">
        <is>
          <t>src/routes/$companySlug.tsx (30 KB); src/routes/book.tsx (12 KB)</t>
        </is>
      </c>
      <c r="I43" s="15" t="inlineStr">
        <is>
          <t>Y</t>
        </is>
      </c>
      <c r="J43" s="15" t="inlineStr">
        <is>
          <t>Y – test_phase4.py</t>
        </is>
      </c>
      <c r="K43" s="15" t="inlineStr">
        <is>
          <t>High</t>
        </is>
      </c>
      <c r="L43" s="15" t="inlineStr">
        <is>
          <t>CAPTCHA is MOCK_CAPTCHA_TOKEN</t>
        </is>
      </c>
      <c r="M43" s="15" t="inlineStr">
        <is>
          <t>Integrate real CAPTCHA</t>
        </is>
      </c>
    </row>
    <row r="44" ht="52" customHeight="1">
      <c r="A44" s="15" t="inlineStr">
        <is>
          <t>M6-02</t>
        </is>
      </c>
      <c r="B44" s="15" t="inlineStr">
        <is>
          <t>OTP Verification (send / verify)</t>
        </is>
      </c>
      <c r="C44" s="15" t="inlineStr">
        <is>
          <t>M6 – Queue Method 4</t>
        </is>
      </c>
      <c r="D44" s="16" t="inlineStr">
        <is>
          <t>Must</t>
        </is>
      </c>
      <c r="E44" s="17" t="inlineStr">
        <is>
          <t>Fully Working</t>
        </is>
      </c>
      <c r="F44" s="18" t="n">
        <v>100</v>
      </c>
      <c r="G44" s="15" t="inlineStr">
        <is>
          <t>appointments/views.py:OtpSendView, OtpVerifyView; /api/public/appointments/otp/send|verify/</t>
        </is>
      </c>
      <c r="H44" s="15" t="inlineStr">
        <is>
          <t>$companySlug.tsx – OTP step; src/components/quesole/otp.tsx</t>
        </is>
      </c>
      <c r="I44" s="15" t="inlineStr">
        <is>
          <t>Y</t>
        </is>
      </c>
      <c r="J44" s="15" t="inlineStr">
        <is>
          <t>Y – test_phase4.py</t>
        </is>
      </c>
      <c r="K44" s="15" t="inlineStr">
        <is>
          <t>High</t>
        </is>
      </c>
      <c r="L44" s="15" t="inlineStr">
        <is>
          <t>SMS OTP uses console backend by default (SMS_BACKEND=console)</t>
        </is>
      </c>
      <c r="M44" s="15" t="inlineStr">
        <is>
          <t>Configure MSG91_AUTH_KEY or TWILIO credentials for real SMS delivery</t>
        </is>
      </c>
    </row>
    <row r="45" ht="52" customHeight="1">
      <c r="A45" s="15" t="inlineStr">
        <is>
          <t>M6-03</t>
        </is>
      </c>
      <c r="B45" s="15" t="inlineStr">
        <is>
          <t>Appointment Slot Management (create/bulk/list)</t>
        </is>
      </c>
      <c r="C45" s="15" t="inlineStr">
        <is>
          <t>M6 – Queue Method 4</t>
        </is>
      </c>
      <c r="D45" s="16" t="inlineStr">
        <is>
          <t>Must</t>
        </is>
      </c>
      <c r="E45" s="17" t="inlineStr">
        <is>
          <t>Fully Working</t>
        </is>
      </c>
      <c r="F45" s="18" t="n">
        <v>100</v>
      </c>
      <c r="G45" s="15" t="inlineStr">
        <is>
          <t>appointments/views.py:AppointmentSlotViewSet, BulkSlotCreateView, TimeSlotViewSet</t>
        </is>
      </c>
      <c r="H45" s="15" t="inlineStr">
        <is>
          <t>branch-console.tsx – appointment tab</t>
        </is>
      </c>
      <c r="I45" s="15" t="inlineStr">
        <is>
          <t>Y</t>
        </is>
      </c>
      <c r="J45" s="15" t="inlineStr">
        <is>
          <t>Y – test_phase4.py</t>
        </is>
      </c>
      <c r="K45" s="15" t="inlineStr">
        <is>
          <t>High</t>
        </is>
      </c>
      <c r="L45" s="15" t="inlineStr">
        <is>
          <t>None</t>
        </is>
      </c>
      <c r="M45" s="15" t="inlineStr">
        <is>
          <t>—</t>
        </is>
      </c>
    </row>
    <row r="46" ht="52" customHeight="1">
      <c r="A46" s="15" t="inlineStr">
        <is>
          <t>M6-04</t>
        </is>
      </c>
      <c r="B46" s="15" t="inlineStr">
        <is>
          <t>Appointment Reschedule &amp; Cancel (manage link)</t>
        </is>
      </c>
      <c r="C46" s="15" t="inlineStr">
        <is>
          <t>M6 – Queue Method 4</t>
        </is>
      </c>
      <c r="D46" s="16" t="inlineStr">
        <is>
          <t>Must</t>
        </is>
      </c>
      <c r="E46" s="17" t="inlineStr">
        <is>
          <t>Fully Working</t>
        </is>
      </c>
      <c r="F46" s="18" t="n">
        <v>100</v>
      </c>
      <c r="G46" s="15" t="inlineStr">
        <is>
          <t>appointments/views.py:AppointmentManageView, AppointmentRescheduleView, AppointmentCancelView</t>
        </is>
      </c>
      <c r="H46" s="15" t="inlineStr">
        <is>
          <t>$companySlug.tsx – manage section</t>
        </is>
      </c>
      <c r="I46" s="15" t="inlineStr">
        <is>
          <t>Y</t>
        </is>
      </c>
      <c r="J46" s="15" t="inlineStr">
        <is>
          <t>Y – test_phase4.py</t>
        </is>
      </c>
      <c r="K46" s="15" t="inlineStr">
        <is>
          <t>High</t>
        </is>
      </c>
      <c r="L46" s="15" t="inlineStr">
        <is>
          <t>None</t>
        </is>
      </c>
      <c r="M46" s="15" t="inlineStr">
        <is>
          <t>—</t>
        </is>
      </c>
    </row>
    <row r="47" ht="52" customHeight="1">
      <c r="A47" s="15" t="inlineStr">
        <is>
          <t>M6-05</t>
        </is>
      </c>
      <c r="B47" s="15" t="inlineStr">
        <is>
          <t>Online Booking Portal (company slug URL)</t>
        </is>
      </c>
      <c r="C47" s="15" t="inlineStr">
        <is>
          <t>M6 – Queue Method 4</t>
        </is>
      </c>
      <c r="D47" s="16" t="inlineStr">
        <is>
          <t>Must</t>
        </is>
      </c>
      <c r="E47" s="17" t="inlineStr">
        <is>
          <t>Fully Working</t>
        </is>
      </c>
      <c r="F47" s="18" t="n">
        <v>100</v>
      </c>
      <c r="G47" s="15" t="inlineStr">
        <is>
          <t>appointments/views.py:PublicCompanyResolveView; /api/public/company/{slug}/</t>
        </is>
      </c>
      <c r="H47" s="15" t="inlineStr">
        <is>
          <t>src/routes/$companySlug.tsx – full booking flow</t>
        </is>
      </c>
      <c r="I47" s="15" t="inlineStr">
        <is>
          <t>Y</t>
        </is>
      </c>
      <c r="J47" s="15" t="inlineStr">
        <is>
          <t>N</t>
        </is>
      </c>
      <c r="K47" s="15" t="inlineStr">
        <is>
          <t>Medium</t>
        </is>
      </c>
      <c r="L47" s="15" t="inlineStr">
        <is>
          <t>None</t>
        </is>
      </c>
      <c r="M47" s="15" t="inlineStr">
        <is>
          <t>Add e2e booking flow test</t>
        </is>
      </c>
    </row>
    <row r="48" ht="52" customHeight="1">
      <c r="A48" s="15" t="inlineStr">
        <is>
          <t>M6-06</t>
        </is>
      </c>
      <c r="B48" s="15" t="inlineStr">
        <is>
          <t>Booking Page Config (admin configures booking page)</t>
        </is>
      </c>
      <c r="C48" s="15" t="inlineStr">
        <is>
          <t>M6 – Queue Method 4</t>
        </is>
      </c>
      <c r="D48" s="19" t="inlineStr">
        <is>
          <t>Should</t>
        </is>
      </c>
      <c r="E48" s="17" t="inlineStr">
        <is>
          <t>Fully Working</t>
        </is>
      </c>
      <c r="F48" s="18" t="n">
        <v>100</v>
      </c>
      <c r="G48" s="15" t="inlineStr">
        <is>
          <t>appointments/views.py:BookingPageConfigView; /api/public/company-booking-config/</t>
        </is>
      </c>
      <c r="H48" s="15" t="inlineStr">
        <is>
          <t>branch-console.tsx – booking config tab</t>
        </is>
      </c>
      <c r="I48" s="15" t="inlineStr">
        <is>
          <t>Y</t>
        </is>
      </c>
      <c r="J48" s="15" t="inlineStr">
        <is>
          <t>N</t>
        </is>
      </c>
      <c r="K48" s="15" t="inlineStr">
        <is>
          <t>Medium</t>
        </is>
      </c>
      <c r="L48" s="15" t="inlineStr">
        <is>
          <t>None</t>
        </is>
      </c>
      <c r="M48" s="15" t="inlineStr">
        <is>
          <t>—</t>
        </is>
      </c>
    </row>
    <row r="49" ht="52" customHeight="1">
      <c r="A49" s="15" t="inlineStr">
        <is>
          <t>M7-01</t>
        </is>
      </c>
      <c r="B49" s="15" t="inlineStr">
        <is>
          <t>Kiosk Touch Interface (service select + token)</t>
        </is>
      </c>
      <c r="C49" s="15" t="inlineStr">
        <is>
          <t>M7 – KOT Kiosk</t>
        </is>
      </c>
      <c r="D49" s="16" t="inlineStr">
        <is>
          <t>Must</t>
        </is>
      </c>
      <c r="E49" s="17" t="inlineStr">
        <is>
          <t>Fully Working</t>
        </is>
      </c>
      <c r="F49" s="18" t="n">
        <v>100</v>
      </c>
      <c r="G49" s="15" t="inlineStr">
        <is>
          <t>kot/views.py:KioskJoinView; POST /api/kiosk/join/ (via kot.urls)</t>
        </is>
      </c>
      <c r="H49" s="15" t="inlineStr">
        <is>
          <t>src/routes/kiosk.$branchId.tsx (52 KB – largest route file)</t>
        </is>
      </c>
      <c r="I49" s="15" t="inlineStr">
        <is>
          <t>Y</t>
        </is>
      </c>
      <c r="J49" s="15" t="inlineStr">
        <is>
          <t>Y – test_phase3.py</t>
        </is>
      </c>
      <c r="K49" s="15" t="inlineStr">
        <is>
          <t>High</t>
        </is>
      </c>
      <c r="L49" s="15" t="inlineStr">
        <is>
          <t>None</t>
        </is>
      </c>
      <c r="M49" s="15" t="inlineStr">
        <is>
          <t>—</t>
        </is>
      </c>
    </row>
    <row r="50" ht="52" customHeight="1">
      <c r="A50" s="15" t="inlineStr">
        <is>
          <t>M7-02</t>
        </is>
      </c>
      <c r="B50" s="15" t="inlineStr">
        <is>
          <t>KOT Printer Management (register / heartbeat)</t>
        </is>
      </c>
      <c r="C50" s="15" t="inlineStr">
        <is>
          <t>M7 – KOT Kiosk</t>
        </is>
      </c>
      <c r="D50" s="16" t="inlineStr">
        <is>
          <t>Must</t>
        </is>
      </c>
      <c r="E50" s="17" t="inlineStr">
        <is>
          <t>Fully Working</t>
        </is>
      </c>
      <c r="F50" s="18" t="n">
        <v>100</v>
      </c>
      <c r="G50" s="15" t="inlineStr">
        <is>
          <t>kot/views.py:PrinterViewSet, PrinterHeartbeatView, PrinterJobsView, PrinterJobCompleteView</t>
        </is>
      </c>
      <c r="H50" s="15" t="inlineStr">
        <is>
          <t>branch-desks-services.tsx – printer config tab</t>
        </is>
      </c>
      <c r="I50" s="15" t="inlineStr">
        <is>
          <t>Y</t>
        </is>
      </c>
      <c r="J50" s="15" t="inlineStr">
        <is>
          <t>Y – test_phase3.py</t>
        </is>
      </c>
      <c r="K50" s="15" t="inlineStr">
        <is>
          <t>High</t>
        </is>
      </c>
      <c r="L50" s="15" t="inlineStr">
        <is>
          <t>Printer authentication uses 'PrinterToken' scheme – not standard JWT</t>
        </is>
      </c>
      <c r="M50" s="15" t="inlineStr">
        <is>
          <t>Document printer token scheme; add printer integration test</t>
        </is>
      </c>
    </row>
    <row r="51" ht="52" customHeight="1">
      <c r="A51" s="15" t="inlineStr">
        <is>
          <t>M7-03</t>
        </is>
      </c>
      <c r="B51" s="15" t="inlineStr">
        <is>
          <t>KOT Print Job Queue</t>
        </is>
      </c>
      <c r="C51" s="15" t="inlineStr">
        <is>
          <t>M7 – KOT Kiosk</t>
        </is>
      </c>
      <c r="D51" s="16" t="inlineStr">
        <is>
          <t>Must</t>
        </is>
      </c>
      <c r="E51" s="17" t="inlineStr">
        <is>
          <t>Fully Working</t>
        </is>
      </c>
      <c r="F51" s="18" t="n">
        <v>100</v>
      </c>
      <c r="G51" s="15" t="inlineStr">
        <is>
          <t>kot/models.py:KotPrintJob; kot/views.py:PrinterJobsView, PrinterJobCompleteView</t>
        </is>
      </c>
      <c r="H51" s="15" t="inlineStr">
        <is>
          <t>N/A (consumed by printer device)</t>
        </is>
      </c>
      <c r="I51" s="15" t="inlineStr">
        <is>
          <t>Y</t>
        </is>
      </c>
      <c r="J51" s="15" t="inlineStr">
        <is>
          <t>Y – test_phase3.py</t>
        </is>
      </c>
      <c r="K51" s="15" t="inlineStr">
        <is>
          <t>High</t>
        </is>
      </c>
      <c r="L51" s="15" t="inlineStr">
        <is>
          <t>None</t>
        </is>
      </c>
      <c r="M51" s="15" t="inlineStr">
        <is>
          <t>—</t>
        </is>
      </c>
    </row>
    <row r="52" ht="52" customHeight="1">
      <c r="A52" s="15" t="inlineStr">
        <is>
          <t>M7-04</t>
        </is>
      </c>
      <c r="B52" s="15" t="inlineStr">
        <is>
          <t>Kiosk Staff Override PIN</t>
        </is>
      </c>
      <c r="C52" s="15" t="inlineStr">
        <is>
          <t>M7 – KOT Kiosk</t>
        </is>
      </c>
      <c r="D52" s="19" t="inlineStr">
        <is>
          <t>Should</t>
        </is>
      </c>
      <c r="E52" s="22" t="inlineStr">
        <is>
          <t>Scaffolded</t>
        </is>
      </c>
      <c r="F52" s="18" t="n">
        <v>25</v>
      </c>
      <c r="G52" s="15" t="inlineStr">
        <is>
          <t>N/A – no backend PIN endpoint found</t>
        </is>
      </c>
      <c r="H52" s="15" t="inlineStr">
        <is>
          <t>kiosk.$branchId.tsx:679 – PIN input UI exists</t>
        </is>
      </c>
      <c r="I52" s="15" t="inlineStr">
        <is>
          <t>N</t>
        </is>
      </c>
      <c r="J52" s="15" t="inlineStr">
        <is>
          <t>N</t>
        </is>
      </c>
      <c r="K52" s="15" t="inlineStr">
        <is>
          <t>Medium</t>
        </is>
      </c>
      <c r="L52" s="15" t="inlineStr">
        <is>
          <t>No backend endpoint to validate PIN; UI collects PIN but doesn't submit it to an API</t>
        </is>
      </c>
      <c r="M52" s="15" t="inlineStr">
        <is>
          <t>Implement POST /api/kiosk/staff-override/ with PIN verification</t>
        </is>
      </c>
    </row>
    <row r="53" ht="52" customHeight="1">
      <c r="A53" s="15" t="inlineStr">
        <is>
          <t>M8-01</t>
        </is>
      </c>
      <c r="B53" s="15" t="inlineStr">
        <is>
          <t>In-App Notification Center</t>
        </is>
      </c>
      <c r="C53" s="15" t="inlineStr">
        <is>
          <t>M8 – Notifications &amp; Alerts</t>
        </is>
      </c>
      <c r="D53" s="16" t="inlineStr">
        <is>
          <t>Must</t>
        </is>
      </c>
      <c r="E53" s="17" t="inlineStr">
        <is>
          <t>Fully Working</t>
        </is>
      </c>
      <c r="F53" s="18" t="n">
        <v>100</v>
      </c>
      <c r="G53" s="15" t="inlineStr">
        <is>
          <t>notifications/models.py:Notification; /api/notifications/</t>
        </is>
      </c>
      <c r="H53" s="15" t="inlineStr">
        <is>
          <t>shell.tsx – notification bell + unread badge</t>
        </is>
      </c>
      <c r="I53" s="15" t="inlineStr">
        <is>
          <t>Y</t>
        </is>
      </c>
      <c r="J53" s="15" t="inlineStr">
        <is>
          <t>N – notifications/tests.py is empty (60 bytes)</t>
        </is>
      </c>
      <c r="K53" s="15" t="inlineStr">
        <is>
          <t>Medium</t>
        </is>
      </c>
      <c r="L53" s="15" t="inlineStr">
        <is>
          <t>No notification tests</t>
        </is>
      </c>
      <c r="M53" s="15" t="inlineStr">
        <is>
          <t>Write test_notifications.py</t>
        </is>
      </c>
    </row>
    <row r="54" ht="52" customHeight="1">
      <c r="A54" s="15" t="inlineStr">
        <is>
          <t>M8-02</t>
        </is>
      </c>
      <c r="B54" s="15" t="inlineStr">
        <is>
          <t>Alert Rule Builder (company admin)</t>
        </is>
      </c>
      <c r="C54" s="15" t="inlineStr">
        <is>
          <t>M8 – Notifications &amp; Alerts</t>
        </is>
      </c>
      <c r="D54" s="16" t="inlineStr">
        <is>
          <t>Must</t>
        </is>
      </c>
      <c r="E54" s="17" t="inlineStr">
        <is>
          <t>Fully Working</t>
        </is>
      </c>
      <c r="F54" s="18" t="n">
        <v>100</v>
      </c>
      <c r="G54" s="15" t="inlineStr">
        <is>
          <t>notifications/views.py:AlertRuleViewSet; /api/alert-rules/</t>
        </is>
      </c>
      <c r="H54" s="15" t="inlineStr">
        <is>
          <t>company-admin.tsx – alert rules tab</t>
        </is>
      </c>
      <c r="I54" s="15" t="inlineStr">
        <is>
          <t>Y</t>
        </is>
      </c>
      <c r="J54" s="15" t="inlineStr">
        <is>
          <t>N</t>
        </is>
      </c>
      <c r="K54" s="15" t="inlineStr">
        <is>
          <t>Medium</t>
        </is>
      </c>
      <c r="L54" s="15" t="inlineStr">
        <is>
          <t>None</t>
        </is>
      </c>
      <c r="M54" s="15" t="inlineStr">
        <is>
          <t>Add alert rule CRUD tests</t>
        </is>
      </c>
    </row>
    <row r="55" ht="52" customHeight="1">
      <c r="A55" s="15" t="inlineStr">
        <is>
          <t>M8-03</t>
        </is>
      </c>
      <c r="B55" s="15" t="inlineStr">
        <is>
          <t>Automated Alert Checks (Celery periodic tasks)</t>
        </is>
      </c>
      <c r="C55" s="15" t="inlineStr">
        <is>
          <t>M8 – Notifications &amp; Alerts</t>
        </is>
      </c>
      <c r="D55" s="16" t="inlineStr">
        <is>
          <t>Must</t>
        </is>
      </c>
      <c r="E55" s="21" t="inlineStr">
        <is>
          <t>Partially Working</t>
        </is>
      </c>
      <c r="F55" s="18" t="n">
        <v>50</v>
      </c>
      <c r="G55" s="15" t="inlineStr">
        <is>
          <t>notifications/tasks.py (23 KB) – 8 periodic tasks (long_wait, queue_spike, desk_idle, no_show, device_heartbeat, no_operator, SLA, volume_anomaly)</t>
        </is>
      </c>
      <c r="H55" s="15" t="inlineStr">
        <is>
          <t>N/A</t>
        </is>
      </c>
      <c r="I55" s="15" t="inlineStr">
        <is>
          <t>N</t>
        </is>
      </c>
      <c r="J55" s="15" t="inlineStr">
        <is>
          <t>N</t>
        </is>
      </c>
      <c r="K55" s="15" t="inlineStr">
        <is>
          <t>Unverified</t>
        </is>
      </c>
      <c r="L55" s="15" t="inlineStr">
        <is>
          <t>Celery broker defaults to memory:// – tasks not durable; no Celery worker running in dev setup</t>
        </is>
      </c>
      <c r="M55" s="15" t="inlineStr">
        <is>
          <t>Start Celery worker; configure Redis broker; add task tests</t>
        </is>
      </c>
    </row>
    <row r="56" ht="52" customHeight="1">
      <c r="A56" s="15" t="inlineStr">
        <is>
          <t>M8-04</t>
        </is>
      </c>
      <c r="B56" s="15" t="inlineStr">
        <is>
          <t>SMS / Email Notifications</t>
        </is>
      </c>
      <c r="C56" s="15" t="inlineStr">
        <is>
          <t>M8 – Notifications &amp; Alerts</t>
        </is>
      </c>
      <c r="D56" s="19" t="inlineStr">
        <is>
          <t>Should</t>
        </is>
      </c>
      <c r="E56" s="22" t="inlineStr">
        <is>
          <t>Scaffolded</t>
        </is>
      </c>
      <c r="F56" s="18" t="n">
        <v>25</v>
      </c>
      <c r="G56" s="15" t="inlineStr">
        <is>
          <t>notifications/tasks.py:dispatch_notification() routes to console/SMS; accounts/services/ dir exists</t>
        </is>
      </c>
      <c r="H56" s="15" t="inlineStr">
        <is>
          <t>N/A</t>
        </is>
      </c>
      <c r="I56" s="15" t="inlineStr">
        <is>
          <t>N</t>
        </is>
      </c>
      <c r="J56" s="15" t="inlineStr">
        <is>
          <t>N</t>
        </is>
      </c>
      <c r="K56" s="15" t="inlineStr">
        <is>
          <t>Unverified</t>
        </is>
      </c>
      <c r="L56" s="15" t="inlineStr">
        <is>
          <t>SMS_BACKEND=console; no TWILIO/MSG91 credentials configured; email backend is console</t>
        </is>
      </c>
      <c r="M56" s="15" t="inlineStr">
        <is>
          <t>Configure SMS/email provider credentials in .env</t>
        </is>
      </c>
    </row>
    <row r="57" ht="52" customHeight="1">
      <c r="A57" s="15" t="inlineStr">
        <is>
          <t>M8-05</t>
        </is>
      </c>
      <c r="B57" s="15" t="inlineStr">
        <is>
          <t>Notification Templates</t>
        </is>
      </c>
      <c r="C57" s="15" t="inlineStr">
        <is>
          <t>M8 – Notifications &amp; Alerts</t>
        </is>
      </c>
      <c r="D57" s="19" t="inlineStr">
        <is>
          <t>Should</t>
        </is>
      </c>
      <c r="E57" s="17" t="inlineStr">
        <is>
          <t>Fully Working</t>
        </is>
      </c>
      <c r="F57" s="18" t="n">
        <v>100</v>
      </c>
      <c r="G57" s="15" t="inlineStr">
        <is>
          <t>notifications/views.py:NotificationTemplateViewSet; /api/notification-templates/; billing/templates/ dir</t>
        </is>
      </c>
      <c r="H57" s="15" t="inlineStr">
        <is>
          <t>N/A</t>
        </is>
      </c>
      <c r="I57" s="15" t="inlineStr">
        <is>
          <t>Y</t>
        </is>
      </c>
      <c r="J57" s="15" t="inlineStr">
        <is>
          <t>N</t>
        </is>
      </c>
      <c r="K57" s="15" t="inlineStr">
        <is>
          <t>Medium</t>
        </is>
      </c>
      <c r="L57" s="15" t="inlineStr">
        <is>
          <t>None</t>
        </is>
      </c>
      <c r="M57" s="15" t="inlineStr">
        <is>
          <t>—</t>
        </is>
      </c>
    </row>
    <row r="58" ht="52" customHeight="1">
      <c r="A58" s="15" t="inlineStr">
        <is>
          <t>M9-01</t>
        </is>
      </c>
      <c r="B58" s="15" t="inlineStr">
        <is>
          <t>Report Trends API</t>
        </is>
      </c>
      <c r="C58" s="15" t="inlineStr">
        <is>
          <t>M9 – Analytics &amp; Reporting</t>
        </is>
      </c>
      <c r="D58" s="16" t="inlineStr">
        <is>
          <t>Must</t>
        </is>
      </c>
      <c r="E58" s="17" t="inlineStr">
        <is>
          <t>Fully Working</t>
        </is>
      </c>
      <c r="F58" s="18" t="n">
        <v>100</v>
      </c>
      <c r="G58" s="15" t="inlineStr">
        <is>
          <t>analytics/views.py:ReportTrendsView; GET /api/reports/trends/</t>
        </is>
      </c>
      <c r="H58" s="15" t="inlineStr">
        <is>
          <t>company-admin.tsx – analytics tab with charts</t>
        </is>
      </c>
      <c r="I58" s="15" t="inlineStr">
        <is>
          <t>Y</t>
        </is>
      </c>
      <c r="J58" s="15" t="inlineStr">
        <is>
          <t>Y – test_phase5.py</t>
        </is>
      </c>
      <c r="K58" s="15" t="inlineStr">
        <is>
          <t>High</t>
        </is>
      </c>
      <c r="L58" s="15" t="inlineStr">
        <is>
          <t>None</t>
        </is>
      </c>
      <c r="M58" s="15" t="inlineStr">
        <is>
          <t>—</t>
        </is>
      </c>
    </row>
    <row r="59" ht="52" customHeight="1">
      <c r="A59" s="15" t="inlineStr">
        <is>
          <t>M9-02</t>
        </is>
      </c>
      <c r="B59" s="15" t="inlineStr">
        <is>
          <t>CSV/Excel Export</t>
        </is>
      </c>
      <c r="C59" s="15" t="inlineStr">
        <is>
          <t>M9 – Analytics &amp; Reporting</t>
        </is>
      </c>
      <c r="D59" s="16" t="inlineStr">
        <is>
          <t>Must</t>
        </is>
      </c>
      <c r="E59" s="17" t="inlineStr">
        <is>
          <t>Fully Working</t>
        </is>
      </c>
      <c r="F59" s="18" t="n">
        <v>100</v>
      </c>
      <c r="G59" s="15" t="inlineStr">
        <is>
          <t>analytics/views.py:ReportExportView; GET /api/reports/export/ (uses pandas)</t>
        </is>
      </c>
      <c r="H59" s="15" t="inlineStr">
        <is>
          <t>company-admin.tsx – export button</t>
        </is>
      </c>
      <c r="I59" s="15" t="inlineStr">
        <is>
          <t>Y</t>
        </is>
      </c>
      <c r="J59" s="15" t="inlineStr">
        <is>
          <t>Y – test_phase5.py</t>
        </is>
      </c>
      <c r="K59" s="15" t="inlineStr">
        <is>
          <t>High</t>
        </is>
      </c>
      <c r="L59" s="15" t="inlineStr">
        <is>
          <t>None</t>
        </is>
      </c>
      <c r="M59" s="15" t="inlineStr">
        <is>
          <t>—</t>
        </is>
      </c>
    </row>
    <row r="60" ht="52" customHeight="1">
      <c r="A60" s="15" t="inlineStr">
        <is>
          <t>M9-03</t>
        </is>
      </c>
      <c r="B60" s="15" t="inlineStr">
        <is>
          <t>Peak-Hour Heatmap</t>
        </is>
      </c>
      <c r="C60" s="15" t="inlineStr">
        <is>
          <t>M9 – Analytics &amp; Reporting</t>
        </is>
      </c>
      <c r="D60" s="19" t="inlineStr">
        <is>
          <t>Should</t>
        </is>
      </c>
      <c r="E60" s="17" t="inlineStr">
        <is>
          <t>Fully Working</t>
        </is>
      </c>
      <c r="F60" s="18" t="n">
        <v>100</v>
      </c>
      <c r="G60" s="15" t="inlineStr">
        <is>
          <t>analytics/views.py:ReportTrendsView returns peak_hours dict</t>
        </is>
      </c>
      <c r="H60" s="15" t="inlineStr">
        <is>
          <t>company-admin.tsx renders heatmap chart</t>
        </is>
      </c>
      <c r="I60" s="15" t="inlineStr">
        <is>
          <t>Y</t>
        </is>
      </c>
      <c r="J60" s="15" t="inlineStr">
        <is>
          <t>N</t>
        </is>
      </c>
      <c r="K60" s="15" t="inlineStr">
        <is>
          <t>Medium</t>
        </is>
      </c>
      <c r="L60" s="15" t="inlineStr">
        <is>
          <t>None</t>
        </is>
      </c>
      <c r="M60" s="15" t="inlineStr">
        <is>
          <t>—</t>
        </is>
      </c>
    </row>
    <row r="61" ht="52" customHeight="1">
      <c r="A61" s="15" t="inlineStr">
        <is>
          <t>M9-04</t>
        </is>
      </c>
      <c r="B61" s="15" t="inlineStr">
        <is>
          <t>Staff Performance Report</t>
        </is>
      </c>
      <c r="C61" s="15" t="inlineStr">
        <is>
          <t>M9 – Analytics &amp; Reporting</t>
        </is>
      </c>
      <c r="D61" s="19" t="inlineStr">
        <is>
          <t>Should</t>
        </is>
      </c>
      <c r="E61" s="17" t="inlineStr">
        <is>
          <t>Fully Working</t>
        </is>
      </c>
      <c r="F61" s="18" t="n">
        <v>100</v>
      </c>
      <c r="G61" s="15" t="inlineStr">
        <is>
          <t>analytics/views.py returns staff_summary from ReportSnapshot.metrics</t>
        </is>
      </c>
      <c r="H61" s="15" t="inlineStr">
        <is>
          <t>company-admin.tsx – staff performance panel</t>
        </is>
      </c>
      <c r="I61" s="15" t="inlineStr">
        <is>
          <t>Y</t>
        </is>
      </c>
      <c r="J61" s="15" t="inlineStr">
        <is>
          <t>N</t>
        </is>
      </c>
      <c r="K61" s="15" t="inlineStr">
        <is>
          <t>Medium</t>
        </is>
      </c>
      <c r="L61" s="15" t="inlineStr">
        <is>
          <t>Report data depends on ReportSnapshot being populated (analytics/tasks.py)</t>
        </is>
      </c>
      <c r="M61" s="15" t="inlineStr">
        <is>
          <t>Verify ReportSnapshot gets populated by Celery task</t>
        </is>
      </c>
    </row>
    <row r="62" ht="52" customHeight="1">
      <c r="A62" s="15" t="inlineStr">
        <is>
          <t>M9-05</t>
        </is>
      </c>
      <c r="B62" s="15" t="inlineStr">
        <is>
          <t>Branch Comparison Report</t>
        </is>
      </c>
      <c r="C62" s="15" t="inlineStr">
        <is>
          <t>M9 – Analytics &amp; Reporting</t>
        </is>
      </c>
      <c r="D62" s="20" t="inlineStr">
        <is>
          <t>Could</t>
        </is>
      </c>
      <c r="E62" s="17" t="inlineStr">
        <is>
          <t>Fully Working</t>
        </is>
      </c>
      <c r="F62" s="18" t="n">
        <v>100</v>
      </c>
      <c r="G62" s="15" t="inlineStr">
        <is>
          <t>analytics/views.py:branch_comp dict in ReportTrendsView</t>
        </is>
      </c>
      <c r="H62" s="15" t="inlineStr">
        <is>
          <t>company-admin.tsx – branch comparison tab</t>
        </is>
      </c>
      <c r="I62" s="15" t="inlineStr">
        <is>
          <t>Y</t>
        </is>
      </c>
      <c r="J62" s="15" t="inlineStr">
        <is>
          <t>N</t>
        </is>
      </c>
      <c r="K62" s="15" t="inlineStr">
        <is>
          <t>Medium</t>
        </is>
      </c>
      <c r="L62" s="15" t="inlineStr">
        <is>
          <t>None</t>
        </is>
      </c>
      <c r="M62" s="15" t="inlineStr">
        <is>
          <t>—</t>
        </is>
      </c>
    </row>
    <row r="63" ht="52" customHeight="1">
      <c r="A63" s="15" t="inlineStr">
        <is>
          <t>M10-01</t>
        </is>
      </c>
      <c r="B63" s="15" t="inlineStr">
        <is>
          <t>Platform KPI Dashboard</t>
        </is>
      </c>
      <c r="C63" s="15" t="inlineStr">
        <is>
          <t>M10 – Super Admin Console</t>
        </is>
      </c>
      <c r="D63" s="16" t="inlineStr">
        <is>
          <t>Must</t>
        </is>
      </c>
      <c r="E63" s="17" t="inlineStr">
        <is>
          <t>Fully Working</t>
        </is>
      </c>
      <c r="F63" s="18" t="n">
        <v>100</v>
      </c>
      <c r="G63" s="15" t="inlineStr">
        <is>
          <t>/api/companies/, /api/branches/, etc – data aggregated on frontend</t>
        </is>
      </c>
      <c r="H63" s="15" t="inlineStr">
        <is>
          <t>super-admin.tsx – dashboard view with MRR, waiting count, upgrades</t>
        </is>
      </c>
      <c r="I63" s="15" t="inlineStr">
        <is>
          <t>Y</t>
        </is>
      </c>
      <c r="J63" s="15" t="inlineStr">
        <is>
          <t>N</t>
        </is>
      </c>
      <c r="K63" s="15" t="inlineStr">
        <is>
          <t>Medium</t>
        </is>
      </c>
      <c r="L63" s="15" t="inlineStr">
        <is>
          <t>MRR calculated from company.monthlySpend (local state field, not a backend aggregate)</t>
        </is>
      </c>
      <c r="M63" s="15" t="inlineStr">
        <is>
          <t>Add dedicated platform KPI API endpoint</t>
        </is>
      </c>
    </row>
    <row r="64" ht="52" customHeight="1">
      <c r="A64" s="15" t="inlineStr">
        <is>
          <t>M10-02</t>
        </is>
      </c>
      <c r="B64" s="15" t="inlineStr">
        <is>
          <t>Package/Plan Editor (CRUD)</t>
        </is>
      </c>
      <c r="C64" s="15" t="inlineStr">
        <is>
          <t>M10 – Super Admin Console</t>
        </is>
      </c>
      <c r="D64" s="16" t="inlineStr">
        <is>
          <t>Must</t>
        </is>
      </c>
      <c r="E64" s="17" t="inlineStr">
        <is>
          <t>Fully Working</t>
        </is>
      </c>
      <c r="F64" s="18" t="n">
        <v>100</v>
      </c>
      <c r="G64" s="15" t="inlineStr">
        <is>
          <t>billing/views.py:PlanComponentViewSet (IsSuperAdmin gated); /api/billing/plan-components/</t>
        </is>
      </c>
      <c r="H64" s="15" t="inlineStr">
        <is>
          <t>super-admin.tsx – billing/plan components tab</t>
        </is>
      </c>
      <c r="I64" s="15" t="inlineStr">
        <is>
          <t>Y</t>
        </is>
      </c>
      <c r="J64" s="15" t="inlineStr">
        <is>
          <t>N</t>
        </is>
      </c>
      <c r="K64" s="15" t="inlineStr">
        <is>
          <t>Medium</t>
        </is>
      </c>
      <c r="L64" s="15" t="inlineStr">
        <is>
          <t>None</t>
        </is>
      </c>
      <c r="M64" s="15" t="inlineStr">
        <is>
          <t>—</t>
        </is>
      </c>
    </row>
    <row r="65" ht="52" customHeight="1">
      <c r="A65" s="15" t="inlineStr">
        <is>
          <t>M10-03</t>
        </is>
      </c>
      <c r="B65" s="15" t="inlineStr">
        <is>
          <t>Platform Audit Log Viewer</t>
        </is>
      </c>
      <c r="C65" s="15" t="inlineStr">
        <is>
          <t>M10 – Super Admin Console</t>
        </is>
      </c>
      <c r="D65" s="19" t="inlineStr">
        <is>
          <t>Should</t>
        </is>
      </c>
      <c r="E65" s="17" t="inlineStr">
        <is>
          <t>Fully Working</t>
        </is>
      </c>
      <c r="F65" s="18" t="n">
        <v>100</v>
      </c>
      <c r="G65" s="15" t="inlineStr">
        <is>
          <t>audit/views.py:AuditLogViewSet; /api/audit-logs/</t>
        </is>
      </c>
      <c r="H65" s="15" t="inlineStr">
        <is>
          <t>super-admin.tsx – audit log tab</t>
        </is>
      </c>
      <c r="I65" s="15" t="inlineStr">
        <is>
          <t>Y</t>
        </is>
      </c>
      <c r="J65" s="15" t="inlineStr">
        <is>
          <t>N</t>
        </is>
      </c>
      <c r="K65" s="15" t="inlineStr">
        <is>
          <t>Medium</t>
        </is>
      </c>
      <c r="L65" s="15" t="inlineStr">
        <is>
          <t>None</t>
        </is>
      </c>
      <c r="M65" s="15" t="inlineStr">
        <is>
          <t>—</t>
        </is>
      </c>
    </row>
    <row r="66" ht="52" customHeight="1">
      <c r="A66" s="15" t="inlineStr">
        <is>
          <t>M10-04</t>
        </is>
      </c>
      <c r="B66" s="15" t="inlineStr">
        <is>
          <t>Platform Settings (global config)</t>
        </is>
      </c>
      <c r="C66" s="15" t="inlineStr">
        <is>
          <t>M10 – Super Admin Console</t>
        </is>
      </c>
      <c r="D66" s="19" t="inlineStr">
        <is>
          <t>Should</t>
        </is>
      </c>
      <c r="E66" s="21" t="inlineStr">
        <is>
          <t>Partially Working</t>
        </is>
      </c>
      <c r="F66" s="18" t="n">
        <v>50</v>
      </c>
      <c r="G66" s="15" t="inlineStr">
        <is>
          <t>core/models.py:PlatformSetting model; companies/views.py reads it</t>
        </is>
      </c>
      <c r="H66" s="15" t="inlineStr">
        <is>
          <t>super-admin.tsx – settings tab renders some config</t>
        </is>
      </c>
      <c r="I66" s="15" t="inlineStr">
        <is>
          <t>N</t>
        </is>
      </c>
      <c r="J66" s="15" t="inlineStr">
        <is>
          <t>N</t>
        </is>
      </c>
      <c r="K66" s="15" t="inlineStr">
        <is>
          <t>Unverified</t>
        </is>
      </c>
      <c r="L66" s="15" t="inlineStr">
        <is>
          <t>No dedicated /api/platform-settings/ endpoint found in urls.py</t>
        </is>
      </c>
      <c r="M66" s="15" t="inlineStr">
        <is>
          <t>Register PlatformSetting CRUD endpoint</t>
        </is>
      </c>
    </row>
    <row r="67" ht="52" customHeight="1">
      <c r="A67" s="15" t="inlineStr">
        <is>
          <t>M10-05</t>
        </is>
      </c>
      <c r="B67" s="15" t="inlineStr">
        <is>
          <t>Price Change Log</t>
        </is>
      </c>
      <c r="C67" s="15" t="inlineStr">
        <is>
          <t>M10 – Super Admin Console</t>
        </is>
      </c>
      <c r="D67" s="20" t="inlineStr">
        <is>
          <t>Could</t>
        </is>
      </c>
      <c r="E67" s="17" t="inlineStr">
        <is>
          <t>Fully Working</t>
        </is>
      </c>
      <c r="F67" s="18" t="n">
        <v>100</v>
      </c>
      <c r="G67" s="15" t="inlineStr">
        <is>
          <t>billing/models.py:PriceChangeLog; /api/billing/price-change-logs/</t>
        </is>
      </c>
      <c r="H67" s="15" t="inlineStr">
        <is>
          <t>super-admin.tsx – plan pricing tab</t>
        </is>
      </c>
      <c r="I67" s="15" t="inlineStr">
        <is>
          <t>Y</t>
        </is>
      </c>
      <c r="J67" s="15" t="inlineStr">
        <is>
          <t>N</t>
        </is>
      </c>
      <c r="K67" s="15" t="inlineStr">
        <is>
          <t>Medium</t>
        </is>
      </c>
      <c r="L67" s="15" t="inlineStr">
        <is>
          <t>None</t>
        </is>
      </c>
      <c r="M67" s="15" t="inlineStr">
        <is>
          <t>—</t>
        </is>
      </c>
    </row>
    <row r="68" ht="52" customHeight="1">
      <c r="A68" s="15" t="inlineStr">
        <is>
          <t>M11-01</t>
        </is>
      </c>
      <c r="B68" s="15" t="inlineStr">
        <is>
          <t>Marketing Landing Page</t>
        </is>
      </c>
      <c r="C68" s="15" t="inlineStr">
        <is>
          <t>M11 – Frontend / Public Pages</t>
        </is>
      </c>
      <c r="D68" s="16" t="inlineStr">
        <is>
          <t>Must</t>
        </is>
      </c>
      <c r="E68" s="17" t="inlineStr">
        <is>
          <t>Fully Working</t>
        </is>
      </c>
      <c r="F68" s="18" t="n">
        <v>100</v>
      </c>
      <c r="G68" s="15" t="inlineStr">
        <is>
          <t>N/A</t>
        </is>
      </c>
      <c r="H68" s="15" t="inlineStr">
        <is>
          <t>src/routes/index.tsx; src/components/site/sections.tsx (multiple sections)</t>
        </is>
      </c>
      <c r="I68" s="15" t="inlineStr">
        <is>
          <t>Y</t>
        </is>
      </c>
      <c r="J68" s="15" t="inlineStr">
        <is>
          <t>N</t>
        </is>
      </c>
      <c r="K68" s="15" t="inlineStr">
        <is>
          <t>High</t>
        </is>
      </c>
      <c r="L68" s="15" t="inlineStr">
        <is>
          <t>None</t>
        </is>
      </c>
      <c r="M68" s="15" t="inlineStr">
        <is>
          <t>—</t>
        </is>
      </c>
    </row>
    <row r="69" ht="52" customHeight="1">
      <c r="A69" s="15" t="inlineStr">
        <is>
          <t>M11-02</t>
        </is>
      </c>
      <c r="B69" s="15" t="inlineStr">
        <is>
          <t>Pricing Page</t>
        </is>
      </c>
      <c r="C69" s="15" t="inlineStr">
        <is>
          <t>M11 – Frontend / Public Pages</t>
        </is>
      </c>
      <c r="D69" s="16" t="inlineStr">
        <is>
          <t>Must</t>
        </is>
      </c>
      <c r="E69" s="17" t="inlineStr">
        <is>
          <t>Fully Working</t>
        </is>
      </c>
      <c r="F69" s="18" t="n">
        <v>100</v>
      </c>
      <c r="G69" s="15" t="inlineStr">
        <is>
          <t>/api/billing/plan-components/ – pricing data from API</t>
        </is>
      </c>
      <c r="H69" s="15" t="inlineStr">
        <is>
          <t>src/routes/pricing.tsx (16 KB)</t>
        </is>
      </c>
      <c r="I69" s="15" t="inlineStr">
        <is>
          <t>Y</t>
        </is>
      </c>
      <c r="J69" s="15" t="inlineStr">
        <is>
          <t>N</t>
        </is>
      </c>
      <c r="K69" s="15" t="inlineStr">
        <is>
          <t>High</t>
        </is>
      </c>
      <c r="L69" s="15" t="inlineStr">
        <is>
          <t>None</t>
        </is>
      </c>
      <c r="M69" s="15" t="inlineStr">
        <is>
          <t>—</t>
        </is>
      </c>
    </row>
    <row r="70" ht="52" customHeight="1">
      <c r="A70" s="15" t="inlineStr">
        <is>
          <t>M11-03</t>
        </is>
      </c>
      <c r="B70" s="15" t="inlineStr">
        <is>
          <t>Login Page</t>
        </is>
      </c>
      <c r="C70" s="15" t="inlineStr">
        <is>
          <t>M11 – Frontend / Public Pages</t>
        </is>
      </c>
      <c r="D70" s="16" t="inlineStr">
        <is>
          <t>Must</t>
        </is>
      </c>
      <c r="E70" s="17" t="inlineStr">
        <is>
          <t>Fully Working</t>
        </is>
      </c>
      <c r="F70" s="18" t="n">
        <v>100</v>
      </c>
      <c r="G70" s="15" t="inlineStr">
        <is>
          <t>/api/auth/login/ (JWT)</t>
        </is>
      </c>
      <c r="H70" s="15" t="inlineStr">
        <is>
          <t>src/routes/login.tsx (18 KB)</t>
        </is>
      </c>
      <c r="I70" s="15" t="inlineStr">
        <is>
          <t>Y</t>
        </is>
      </c>
      <c r="J70" s="15" t="inlineStr">
        <is>
          <t>Y – test_auth.py</t>
        </is>
      </c>
      <c r="K70" s="15" t="inlineStr">
        <is>
          <t>High</t>
        </is>
      </c>
      <c r="L70" s="15" t="inlineStr">
        <is>
          <t>None</t>
        </is>
      </c>
      <c r="M70" s="15" t="inlineStr">
        <is>
          <t>—</t>
        </is>
      </c>
    </row>
    <row r="71" ht="52" customHeight="1">
      <c r="A71" s="15" t="inlineStr">
        <is>
          <t>M11-04</t>
        </is>
      </c>
      <c r="B71" s="15" t="inlineStr">
        <is>
          <t>Password Reset / Forgot Password</t>
        </is>
      </c>
      <c r="C71" s="15" t="inlineStr">
        <is>
          <t>M11 – Frontend / Public Pages</t>
        </is>
      </c>
      <c r="D71" s="16" t="inlineStr">
        <is>
          <t>Must</t>
        </is>
      </c>
      <c r="E71" s="22" t="inlineStr">
        <is>
          <t>Scaffolded</t>
        </is>
      </c>
      <c r="F71" s="18" t="n">
        <v>25</v>
      </c>
      <c r="G71" s="15" t="inlineStr">
        <is>
          <t>N/A – no reset endpoint in urls.py</t>
        </is>
      </c>
      <c r="H71" s="15" t="inlineStr">
        <is>
          <t>src/routes/forgot-password.tsx (7 KB) – UI exists</t>
        </is>
      </c>
      <c r="I71" s="15" t="inlineStr">
        <is>
          <t>N</t>
        </is>
      </c>
      <c r="J71" s="15" t="inlineStr">
        <is>
          <t>N</t>
        </is>
      </c>
      <c r="K71" s="15" t="inlineStr">
        <is>
          <t>High</t>
        </is>
      </c>
      <c r="L71" s="15" t="inlineStr">
        <is>
          <t>No backend reset endpoint; no token-based reset flow; email backend is console anyway</t>
        </is>
      </c>
      <c r="M71" s="15" t="inlineStr">
        <is>
          <t>Implement POST /api/auth/password-reset/ + confirm endpoint</t>
        </is>
      </c>
    </row>
    <row r="72" ht="52" customHeight="1">
      <c r="A72" s="15" t="inlineStr">
        <is>
          <t>M11-05</t>
        </is>
      </c>
      <c r="B72" s="15" t="inlineStr">
        <is>
          <t>App Shell &amp; Role-Based Navigation</t>
        </is>
      </c>
      <c r="C72" s="15" t="inlineStr">
        <is>
          <t>M11 – Frontend / Public Pages</t>
        </is>
      </c>
      <c r="D72" s="16" t="inlineStr">
        <is>
          <t>Must</t>
        </is>
      </c>
      <c r="E72" s="17" t="inlineStr">
        <is>
          <t>Fully Working</t>
        </is>
      </c>
      <c r="F72" s="18" t="n">
        <v>100</v>
      </c>
      <c r="G72" s="15" t="inlineStr">
        <is>
          <t>N/A</t>
        </is>
      </c>
      <c r="H72" s="15" t="inlineStr">
        <is>
          <t>src/routes/app.tsx; src/components/console/shell.tsx – sidebar, role nav</t>
        </is>
      </c>
      <c r="I72" s="15" t="inlineStr">
        <is>
          <t>Y</t>
        </is>
      </c>
      <c r="J72" s="15" t="inlineStr">
        <is>
          <t>N</t>
        </is>
      </c>
      <c r="K72" s="15" t="inlineStr">
        <is>
          <t>High</t>
        </is>
      </c>
      <c r="L72" s="15" t="inlineStr">
        <is>
          <t>None</t>
        </is>
      </c>
      <c r="M72" s="15" t="inlineStr">
        <is>
          <t>—</t>
        </is>
      </c>
    </row>
    <row r="73" ht="52" customHeight="1">
      <c r="A73" s="15" t="inlineStr">
        <is>
          <t>M11-06</t>
        </is>
      </c>
      <c r="B73" s="15" t="inlineStr">
        <is>
          <t>Company Admin Console</t>
        </is>
      </c>
      <c r="C73" s="15" t="inlineStr">
        <is>
          <t>M11 – Frontend / Public Pages</t>
        </is>
      </c>
      <c r="D73" s="16" t="inlineStr">
        <is>
          <t>Must</t>
        </is>
      </c>
      <c r="E73" s="17" t="inlineStr">
        <is>
          <t>Fully Working</t>
        </is>
      </c>
      <c r="F73" s="18" t="n">
        <v>100</v>
      </c>
      <c r="G73" s="15" t="inlineStr">
        <is>
          <t>Multiple API endpoints wired</t>
        </is>
      </c>
      <c r="H73" s="15" t="inlineStr">
        <is>
          <t>src/components/console/company-admin.tsx (120 KB)</t>
        </is>
      </c>
      <c r="I73" s="15" t="inlineStr">
        <is>
          <t>Y</t>
        </is>
      </c>
      <c r="J73" s="15" t="inlineStr">
        <is>
          <t>Y – test_company_admin.py</t>
        </is>
      </c>
      <c r="K73" s="15" t="inlineStr">
        <is>
          <t>High</t>
        </is>
      </c>
      <c r="L73" s="15" t="inlineStr">
        <is>
          <t>None</t>
        </is>
      </c>
      <c r="M73" s="15" t="inlineStr">
        <is>
          <t>—</t>
        </is>
      </c>
    </row>
    <row r="74" ht="52" customHeight="1">
      <c r="A74" s="15" t="inlineStr">
        <is>
          <t>M11-07</t>
        </is>
      </c>
      <c r="B74" s="15" t="inlineStr">
        <is>
          <t>Branch Admin Console</t>
        </is>
      </c>
      <c r="C74" s="15" t="inlineStr">
        <is>
          <t>M11 – Frontend / Public Pages</t>
        </is>
      </c>
      <c r="D74" s="16" t="inlineStr">
        <is>
          <t>Must</t>
        </is>
      </c>
      <c r="E74" s="17" t="inlineStr">
        <is>
          <t>Fully Working</t>
        </is>
      </c>
      <c r="F74" s="18" t="n">
        <v>100</v>
      </c>
      <c r="G74" s="15" t="inlineStr">
        <is>
          <t>Multiple API endpoints wired</t>
        </is>
      </c>
      <c r="H74" s="15" t="inlineStr">
        <is>
          <t>src/components/console/branch-console.tsx (61 KB); branch-desks-services.tsx</t>
        </is>
      </c>
      <c r="I74" s="15" t="inlineStr">
        <is>
          <t>Y</t>
        </is>
      </c>
      <c r="J74" s="15" t="inlineStr">
        <is>
          <t>N</t>
        </is>
      </c>
      <c r="K74" s="15" t="inlineStr">
        <is>
          <t>High</t>
        </is>
      </c>
      <c r="L74" s="15" t="inlineStr">
        <is>
          <t>None</t>
        </is>
      </c>
      <c r="M74" s="15" t="inlineStr">
        <is>
          <t>—</t>
        </is>
      </c>
    </row>
    <row r="75" ht="52" customHeight="1">
      <c r="A75" s="15" t="inlineStr">
        <is>
          <t>M11-08</t>
        </is>
      </c>
      <c r="B75" s="15" t="inlineStr">
        <is>
          <t>Operator / Desk Console</t>
        </is>
      </c>
      <c r="C75" s="15" t="inlineStr">
        <is>
          <t>M11 – Frontend / Public Pages</t>
        </is>
      </c>
      <c r="D75" s="16" t="inlineStr">
        <is>
          <t>Must</t>
        </is>
      </c>
      <c r="E75" s="17" t="inlineStr">
        <is>
          <t>Fully Working</t>
        </is>
      </c>
      <c r="F75" s="18" t="n">
        <v>100</v>
      </c>
      <c r="G75" s="15" t="inlineStr">
        <is>
          <t>/api/tickets/call-next/; /api/tickets/{id}/action/</t>
        </is>
      </c>
      <c r="H75" s="15" t="inlineStr">
        <is>
          <t>app.tsx – desk console tab; branch-console.tsx</t>
        </is>
      </c>
      <c r="I75" s="15" t="inlineStr">
        <is>
          <t>Y</t>
        </is>
      </c>
      <c r="J75" s="15" t="inlineStr">
        <is>
          <t>Y – test_phase2.py</t>
        </is>
      </c>
      <c r="K75" s="15" t="inlineStr">
        <is>
          <t>High</t>
        </is>
      </c>
      <c r="L75" s="15" t="inlineStr">
        <is>
          <t>None</t>
        </is>
      </c>
      <c r="M75" s="15" t="inlineStr">
        <is>
          <t>—</t>
        </is>
      </c>
    </row>
    <row r="76" ht="52" customHeight="1">
      <c r="A76" s="15" t="inlineStr">
        <is>
          <t>M11-09</t>
        </is>
      </c>
      <c r="B76" s="15" t="inlineStr">
        <is>
          <t>Customer Feedback (post-service rating)</t>
        </is>
      </c>
      <c r="C76" s="15" t="inlineStr">
        <is>
          <t>M11 – Frontend / Public Pages</t>
        </is>
      </c>
      <c r="D76" s="19" t="inlineStr">
        <is>
          <t>Should</t>
        </is>
      </c>
      <c r="E76" s="22" t="inlineStr">
        <is>
          <t>Scaffolded</t>
        </is>
      </c>
      <c r="F76" s="18" t="n">
        <v>25</v>
      </c>
      <c r="G76" s="15" t="inlineStr">
        <is>
          <t>feedback/models.py:Feedback (model only); no views.py; no URL registered</t>
        </is>
      </c>
      <c r="H76" s="15" t="inlineStr">
        <is>
          <t>N/A – no feedback UI found in routes/components</t>
        </is>
      </c>
      <c r="I76" s="15" t="inlineStr">
        <is>
          <t>N</t>
        </is>
      </c>
      <c r="J76" s="15" t="inlineStr">
        <is>
          <t>N</t>
        </is>
      </c>
      <c r="K76" s="15" t="inlineStr">
        <is>
          <t>High</t>
        </is>
      </c>
      <c r="L76" s="15" t="inlineStr">
        <is>
          <t>Model exists, zero API surface and no frontend</t>
        </is>
      </c>
      <c r="M76" s="15" t="inlineStr">
        <is>
          <t>Implement feedback views.py, urls.py, and customer-facing feedback page</t>
        </is>
      </c>
    </row>
    <row r="77" ht="52" customHeight="1">
      <c r="A77" s="15" t="inlineStr">
        <is>
          <t>M11-10</t>
        </is>
      </c>
      <c r="B77" s="15" t="inlineStr">
        <is>
          <t>Data Backup &amp; Retention (PII purge + DB backup)</t>
        </is>
      </c>
      <c r="C77" s="15" t="inlineStr">
        <is>
          <t>M11 – Frontend / Public Pages</t>
        </is>
      </c>
      <c r="D77" s="20" t="inlineStr">
        <is>
          <t>Could</t>
        </is>
      </c>
      <c r="E77" s="21" t="inlineStr">
        <is>
          <t>Partially Working</t>
        </is>
      </c>
      <c r="F77" s="18" t="n">
        <v>50</v>
      </c>
      <c r="G77" s="15" t="inlineStr">
        <is>
          <t>core/backup.py:run_mysql_backup(); core/tasks.py:purge_expired_customer_pii(); Celery beat schedules both</t>
        </is>
      </c>
      <c r="H77" s="15" t="inlineStr">
        <is>
          <t>N/A</t>
        </is>
      </c>
      <c r="I77" s="15" t="inlineStr">
        <is>
          <t>N</t>
        </is>
      </c>
      <c r="J77" s="15" t="inlineStr">
        <is>
          <t>Y – test_phase7.py covers PII purge logic</t>
        </is>
      </c>
      <c r="K77" s="15" t="inlineStr">
        <is>
          <t>Unverified</t>
        </is>
      </c>
      <c r="L77" s="15" t="inlineStr">
        <is>
          <t>Celery must be running; DB backup uses mysqldump which must be on PATH</t>
        </is>
      </c>
      <c r="M77" s="15" t="inlineStr">
        <is>
          <t>Run Celery beat; verify mysqldump available; test backup file creation</t>
        </is>
      </c>
    </row>
  </sheetData>
  <autoFilter ref="A1:M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5" customWidth="1" min="1" max="1"/>
    <col width="80" customWidth="1" min="2" max="2"/>
  </cols>
  <sheetData>
    <row r="1">
      <c r="A1" s="4" t="inlineStr">
        <is>
          <t>Path / Location</t>
        </is>
      </c>
      <c r="B1" s="4" t="inlineStr">
        <is>
          <t>Description</t>
        </is>
      </c>
    </row>
    <row r="2" ht="28" customHeight="1">
      <c r="A2" t="inlineStr">
        <is>
          <t>src/components/site/scroll-controlled-background.tsx</t>
        </is>
      </c>
      <c r="B2" t="inlineStr">
        <is>
          <t>Scroll-linked background video (MOD-01 from completed_modules.xlsx) – frontend-only visual enhancement, not in main spec</t>
        </is>
      </c>
    </row>
    <row r="3" ht="28" customHeight="1">
      <c r="A3" t="inlineStr">
        <is>
          <t>completed_modules.xlsx</t>
        </is>
      </c>
      <c r="B3" t="inlineStr">
        <is>
          <t>Separate UI polish module tracker (MOD-01…MOD-10) tracking frontend visual improvements – not in main breakdown sheet</t>
        </is>
      </c>
    </row>
    <row r="4" ht="28" customHeight="1">
      <c r="A4" t="inlineStr">
        <is>
          <t>backend/tests/locustfile.py</t>
        </is>
      </c>
      <c r="B4" t="inlineStr">
        <is>
          <t>Locust load-testing script (~200 lines) – not listed in spec but useful</t>
        </is>
      </c>
    </row>
    <row r="5" ht="28" customHeight="1">
      <c r="A5" t="inlineStr">
        <is>
          <t>backend/tests/test_scenario57.py</t>
        </is>
      </c>
      <c r="B5" t="inlineStr">
        <is>
          <t>Specific scenario test file named 'scenario57' – purpose unclear from name alone</t>
        </is>
      </c>
    </row>
    <row r="6" ht="28" customHeight="1">
      <c r="A6" t="inlineStr">
        <is>
          <t>backend/billing/stripe_helper.py</t>
        </is>
      </c>
      <c r="B6" t="inlineStr">
        <is>
          <t>Stripe helper module (3 KB) wrapping stripe API – not explicitly in breakdown as separate module</t>
        </is>
      </c>
    </row>
    <row r="7" ht="28" customHeight="1">
      <c r="A7" t="inlineStr">
        <is>
          <t>backend/core/honeypot.py</t>
        </is>
      </c>
      <c r="B7" t="inlineStr">
        <is>
          <t>Bot honeypot field validator – security extra beyond spec</t>
        </is>
      </c>
    </row>
    <row r="8" ht="28" customHeight="1">
      <c r="A8" t="inlineStr">
        <is>
          <t>backend/core/throttles.py</t>
        </is>
      </c>
      <c r="B8" t="inlineStr">
        <is>
          <t>Custom DRF throttle classes – beyond baseline spec</t>
        </is>
      </c>
    </row>
    <row r="9" ht="28" customHeight="1">
      <c r="A9" t="inlineStr">
        <is>
          <t>backend/core/crypto.py</t>
        </is>
      </c>
      <c r="B9" t="inlineStr">
        <is>
          <t>Custom blind-index + tracking-code generator – beyond spec, supports PII encryption</t>
        </is>
      </c>
    </row>
    <row r="10" ht="28" customHeight="1">
      <c r="A10" t="inlineStr">
        <is>
          <t>backend/subscriptions/</t>
        </is>
      </c>
      <c r="B10" t="inlineStr">
        <is>
          <t>Empty subscriptions/ app directory – stubs with only a services/ subdir; functionality is in billing/ instead</t>
        </is>
      </c>
    </row>
    <row r="11" ht="28" customHeight="1">
      <c r="A11" t="inlineStr">
        <is>
          <t>backend/qrcodes/</t>
        </is>
      </c>
      <c r="B11" t="inlineStr">
        <is>
          <t>qrcodes/ directory contains only SVG files (static assets) – not an app module</t>
        </is>
      </c>
    </row>
    <row r="12" ht="28" customHeight="1">
      <c r="A12" t="inlineStr">
        <is>
          <t>backend/backups/</t>
        </is>
      </c>
      <c r="B12" t="inlineStr">
        <is>
          <t>backups/ directory – runtime backup output location (not a Django app)</t>
        </is>
      </c>
    </row>
    <row r="13" ht="28" customHeight="1">
      <c r="A13" t="inlineStr">
        <is>
          <t>src/routes/book.tsx</t>
        </is>
      </c>
      <c r="B13" t="inlineStr">
        <is>
          <t>Standalone book.tsx route (12 KB) – partial overlap with $companySlug.tsx booking flow; may be unused or alternate flow</t>
        </is>
      </c>
    </row>
    <row r="14" ht="28" customHeight="1">
      <c r="A14" t="inlineStr">
        <is>
          <t>backend/tests/test_phase6.py</t>
        </is>
      </c>
      <c r="B14" t="inlineStr">
        <is>
          <t>Phase 6 tests (6 KB) – covers functionality not in M0-M11 breakdown (possibly security/compliance phase)</t>
        </is>
      </c>
    </row>
    <row r="15" ht="28" customHeight="1">
      <c r="A15" t="inlineStr">
        <is>
          <t>backend/tests/test_phase7.py</t>
        </is>
      </c>
      <c r="B15" t="inlineStr">
        <is>
          <t>Phase 7 tests (36 KB, largest test file) – covers data retention, backup, compliance beyond main spec</t>
        </is>
      </c>
    </row>
    <row r="16" ht="28" customHeight="1">
      <c r="A16" t="inlineStr">
        <is>
          <t>src/lib/quesole/store.tsx:1601</t>
        </is>
      </c>
      <c r="B16" t="inlineStr">
        <is>
          <t>store.tsx line 1601 comment: 'Calculated mock/live trend percentages vs. yesterday/last hour' – dashboard delta percentages are computed locally, not from backend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2026-08-23T12:25:38Z</dcterms:created>
  <dcterms:modified xsi:type="dcterms:W3CDTF">2026-08-23T12:25:38Z</dcterms:modified>
</cp:coreProperties>
</file>