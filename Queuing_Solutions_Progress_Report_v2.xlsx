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ule Audit" sheetId="2" state="visible" r:id="rId2"/>
    <sheet name="Untracked - Extra Code" sheetId="3" state="visible" r:id="rId3"/>
  </sheets>
  <definedNames>
    <definedName name="_xlnm._FilterDatabase" localSheetId="1" hidden="1">'Module Audit'!$A$1:$O$85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6"/>
    </font>
    <font>
      <b val="1"/>
      <color rgb="001F3864"/>
      <sz val="14"/>
    </font>
    <font>
      <b val="1"/>
    </font>
    <font>
      <b val="1"/>
      <sz val="12"/>
    </font>
    <font>
      <b val="1"/>
      <color rgb="00375623"/>
      <sz val="14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62" customWidth="1" min="4" max="4"/>
  </cols>
  <sheetData>
    <row r="1">
      <c r="A1" s="1" t="inlineStr">
        <is>
          <t>Queuing Solutions — Engineering Progress Dashboard (v2)</t>
        </is>
      </c>
    </row>
    <row r="3">
      <c r="A3" s="2" t="inlineStr">
        <is>
          <t>Rows in Sheet '3. Modules &amp; Features' (incl. 5 section-header rows):</t>
        </is>
      </c>
      <c r="B3" t="n">
        <v>89</v>
      </c>
      <c r="C3" t="inlineStr">
        <is>
          <t>← includes 5 section-header rows (M1—/M5—/M8—/M9—/M11—) which have no feature text</t>
        </is>
      </c>
    </row>
    <row r="4">
      <c r="A4" s="2" t="inlineStr">
        <is>
          <t>Actual individual feature rows (ID format Mx-NN):</t>
        </is>
      </c>
      <c r="B4" t="n">
        <v>84</v>
      </c>
    </row>
    <row r="5">
      <c r="A5" s="2" t="inlineStr">
        <is>
          <t>Rows audited this report:</t>
        </is>
      </c>
      <c r="B5">
        <f>COUNTA('Module Audit'!A2:A85)</f>
        <v/>
      </c>
    </row>
    <row r="6">
      <c r="A6" s="2" t="inlineStr">
        <is>
          <t>Coverage of actual feature rows:</t>
        </is>
      </c>
      <c r="B6" s="3">
        <f>B5/B4</f>
        <v/>
      </c>
    </row>
    <row r="7">
      <c r="A7" s="4" t="inlineStr">
        <is>
          <t>Overall Weighted % Complete:</t>
        </is>
      </c>
      <c r="B7" s="5">
        <f>AVERAGE('Module Audit'!G2:G85)</f>
        <v/>
      </c>
    </row>
    <row r="9">
      <c r="A9" s="2" t="inlineStr">
        <is>
          <t>Test Suite Results (pytest – run 2026-08-23):</t>
        </is>
      </c>
    </row>
    <row r="10">
      <c r="A10" t="inlineStr">
        <is>
          <t>Total collected</t>
        </is>
      </c>
      <c r="B10" t="n">
        <v>116</v>
      </c>
    </row>
    <row r="11">
      <c r="A11" t="inlineStr">
        <is>
          <t>Passed</t>
        </is>
      </c>
      <c r="B11" t="n">
        <v>104</v>
      </c>
    </row>
    <row r="12">
      <c r="A12" t="inlineStr">
        <is>
          <t>Failed</t>
        </is>
      </c>
      <c r="B12" t="n">
        <v>11</v>
      </c>
    </row>
    <row r="13">
      <c r="A13" t="inlineStr">
        <is>
          <t>Skipped</t>
        </is>
      </c>
      <c r="B13" t="n">
        <v>1</v>
      </c>
    </row>
    <row r="14">
      <c r="A14" t="inlineStr">
        <is>
          <t>Key failures</t>
        </is>
      </c>
      <c r="B14" t="inlineStr">
        <is>
          <t>test_rbac.py(4), test_phase1.py(2), test_phase2.py(1), test_phase4.py(1), test_company_admin.py(1), test_scenario57.py(1), test_phase7.py(1 – fakeredis missing)</t>
        </is>
      </c>
    </row>
    <row r="17">
      <c r="A17" s="2" t="inlineStr">
        <is>
          <t>Status</t>
        </is>
      </c>
      <c r="B17" s="2" t="inlineStr">
        <is>
          <t>Count</t>
        </is>
      </c>
      <c r="C17" s="2" t="inlineStr">
        <is>
          <t>% of Total</t>
        </is>
      </c>
    </row>
    <row r="18">
      <c r="A18" s="6" t="inlineStr">
        <is>
          <t>Fully Working</t>
        </is>
      </c>
      <c r="B18">
        <f>COUNTIF('Module Audit'!F2:F85,"Fully Working")</f>
        <v/>
      </c>
      <c r="C18" s="3">
        <f>B18/84</f>
        <v/>
      </c>
    </row>
    <row r="19">
      <c r="A19" s="7" t="inlineStr">
        <is>
          <t>Partially Working</t>
        </is>
      </c>
      <c r="B19">
        <f>COUNTIF('Module Audit'!F2:F85,"Partially Working")</f>
        <v/>
      </c>
      <c r="C19" s="3">
        <f>B19/84</f>
        <v/>
      </c>
    </row>
    <row r="20">
      <c r="A20" s="8" t="inlineStr">
        <is>
          <t>Scaffolded</t>
        </is>
      </c>
      <c r="B20">
        <f>COUNTIF('Module Audit'!F2:F85,"Scaffolded")</f>
        <v/>
      </c>
      <c r="C20" s="3">
        <f>B20/84</f>
        <v/>
      </c>
    </row>
    <row r="21">
      <c r="A21" s="9" t="inlineStr">
        <is>
          <t>Broken</t>
        </is>
      </c>
      <c r="B21">
        <f>COUNTIF('Module Audit'!F2:F85,"Broken")</f>
        <v/>
      </c>
      <c r="C21" s="3">
        <f>B21/84</f>
        <v/>
      </c>
    </row>
    <row r="22">
      <c r="A22" s="10" t="inlineStr">
        <is>
          <t>Not Started</t>
        </is>
      </c>
      <c r="B22">
        <f>COUNTIF('Module Audit'!F2:F85,"Not Started")</f>
        <v/>
      </c>
      <c r="C22" s="3">
        <f>B22/84</f>
        <v/>
      </c>
    </row>
    <row r="23">
      <c r="A23" s="11" t="inlineStr">
        <is>
          <t>Not Applicable</t>
        </is>
      </c>
      <c r="B23">
        <f>COUNTIF('Module Audit'!F2:F85,"Not Applicable")</f>
        <v/>
      </c>
      <c r="C23" s="3">
        <f>B23/84</f>
        <v/>
      </c>
    </row>
    <row r="26">
      <c r="A26" s="2" t="inlineStr">
        <is>
          <t>Priority</t>
        </is>
      </c>
      <c r="B26" s="2" t="inlineStr">
        <is>
          <t>Weighted % Complete</t>
        </is>
      </c>
      <c r="C26" s="2" t="inlineStr">
        <is>
          <t>Count</t>
        </is>
      </c>
    </row>
    <row r="27">
      <c r="A27" s="12" t="inlineStr">
        <is>
          <t>Must</t>
        </is>
      </c>
      <c r="B27" s="3">
        <f>IFERROR(AVERAGEIF('Module Audit'!D2:D85,A27,'Module Audit'!G2:G85),0)</f>
        <v/>
      </c>
      <c r="C27">
        <f>COUNTIF('Module Audit'!D2:D85,A27)</f>
        <v/>
      </c>
    </row>
    <row r="28">
      <c r="A28" s="13" t="inlineStr">
        <is>
          <t>Should</t>
        </is>
      </c>
      <c r="B28" s="3">
        <f>IFERROR(AVERAGEIF('Module Audit'!D2:D85,A28,'Module Audit'!G2:G85),0)</f>
        <v/>
      </c>
      <c r="C28">
        <f>COUNTIF('Module Audit'!D2:D85,A28)</f>
        <v/>
      </c>
    </row>
    <row r="29">
      <c r="A29" s="14" t="inlineStr">
        <is>
          <t>Could</t>
        </is>
      </c>
      <c r="B29" s="3">
        <f>IFERROR(AVERAGEIF('Module Audit'!D2:D85,A29,'Module Audit'!G2:G85),0)</f>
        <v/>
      </c>
      <c r="C29">
        <f>COUNTIF('Module Audit'!D2:D85,A29)</f>
        <v/>
      </c>
    </row>
    <row r="32">
      <c r="A32" s="2" t="inlineStr">
        <is>
          <t>Module Group</t>
        </is>
      </c>
      <c r="B32" s="2" t="inlineStr">
        <is>
          <t>Weighted % Complete</t>
        </is>
      </c>
      <c r="C32" s="2" t="inlineStr">
        <is>
          <t>Count</t>
        </is>
      </c>
    </row>
    <row r="33">
      <c r="A33" t="inlineStr">
        <is>
          <t>M0 – Platform Administration</t>
        </is>
      </c>
      <c r="B33" s="3">
        <f>IFERROR(AVERAGEIF('Module Audit'!C2:C85,A33,'Module Audit'!G2:G85),0)</f>
        <v/>
      </c>
      <c r="C33">
        <f>COUNTIF('Module Audit'!C2:C85,A33)</f>
        <v/>
      </c>
    </row>
    <row r="34">
      <c r="A34" t="inlineStr">
        <is>
          <t>M1 – Company &amp; Multi-Branch Registration</t>
        </is>
      </c>
      <c r="B34" s="3">
        <f>IFERROR(AVERAGEIF('Module Audit'!C2:C85,A34,'Module Audit'!G2:G85),0)</f>
        <v/>
      </c>
      <c r="C34">
        <f>COUNTIF('Module Audit'!C2:C85,A34)</f>
        <v/>
      </c>
    </row>
    <row r="35">
      <c r="A35" t="inlineStr">
        <is>
          <t>M10 – Reporting &amp; Analytics</t>
        </is>
      </c>
      <c r="B35" s="3">
        <f>IFERROR(AVERAGEIF('Module Audit'!C2:C85,A35,'Module Audit'!G2:G85),0)</f>
        <v/>
      </c>
      <c r="C35">
        <f>COUNTIF('Module Audit'!C2:C85,A35)</f>
        <v/>
      </c>
    </row>
    <row r="36">
      <c r="A36" t="inlineStr">
        <is>
          <t>M11 – Cross-Cutting Platform Concerns</t>
        </is>
      </c>
      <c r="B36" s="3">
        <f>IFERROR(AVERAGEIF('Module Audit'!C2:C85,A36,'Module Audit'!G2:G85),0)</f>
        <v/>
      </c>
      <c r="C36">
        <f>COUNTIF('Module Audit'!C2:C85,A36)</f>
        <v/>
      </c>
    </row>
    <row r="37">
      <c r="A37" t="inlineStr">
        <is>
          <t>M2 – Subscription, Branch &amp; User Assignment</t>
        </is>
      </c>
      <c r="B37" s="3">
        <f>IFERROR(AVERAGEIF('Module Audit'!C2:C85,A37,'Module Audit'!G2:G85),0)</f>
        <v/>
      </c>
      <c r="C37">
        <f>COUNTIF('Module Audit'!C2:C85,A37)</f>
        <v/>
      </c>
    </row>
    <row r="38">
      <c r="A38" t="inlineStr">
        <is>
          <t>M3 – Company Admin Dashboard &amp; Monitoring</t>
        </is>
      </c>
      <c r="B38" s="3">
        <f>IFERROR(AVERAGEIF('Module Audit'!C2:C85,A38,'Module Audit'!G2:G85),0)</f>
        <v/>
      </c>
      <c r="C38">
        <f>COUNTIF('Module Audit'!C2:C85,A38)</f>
        <v/>
      </c>
    </row>
    <row r="39">
      <c r="A39" t="inlineStr">
        <is>
          <t>M4 – Branch Operator Configuration Panel</t>
        </is>
      </c>
      <c r="B39" s="3">
        <f>IFERROR(AVERAGEIF('Module Audit'!C2:C85,A39,'Module Audit'!G2:G85),0)</f>
        <v/>
      </c>
      <c r="C39">
        <f>COUNTIF('Module Audit'!C2:C85,A39)</f>
        <v/>
      </c>
    </row>
    <row r="40">
      <c r="A40" t="inlineStr">
        <is>
          <t>M5 – Queuing Solution Methods</t>
        </is>
      </c>
      <c r="B40" s="3">
        <f>IFERROR(AVERAGEIF('Module Audit'!C2:C85,A40,'Module Audit'!G2:G85),0)</f>
        <v/>
      </c>
      <c r="C40">
        <f>COUNTIF('Module Audit'!C2:C85,A40)</f>
        <v/>
      </c>
    </row>
    <row r="41">
      <c r="A41" t="inlineStr">
        <is>
          <t>M6 – Responsive Web Access</t>
        </is>
      </c>
      <c r="B41" s="3">
        <f>IFERROR(AVERAGEIF('Module Audit'!C2:C85,A41,'Module Audit'!G2:G85),0)</f>
        <v/>
      </c>
      <c r="C41">
        <f>COUNTIF('Module Audit'!C2:C85,A41)</f>
        <v/>
      </c>
    </row>
    <row r="42">
      <c r="A42" t="inlineStr">
        <is>
          <t>M7 – KOT Printing</t>
        </is>
      </c>
      <c r="B42" s="3">
        <f>IFERROR(AVERAGEIF('Module Audit'!C2:C85,A42,'Module Audit'!G2:G85),0)</f>
        <v/>
      </c>
      <c r="C42">
        <f>COUNTIF('Module Audit'!C2:C85,A42)</f>
        <v/>
      </c>
    </row>
    <row r="43">
      <c r="A43" t="inlineStr">
        <is>
          <t>M8 – Auth, RBAC &amp; Multi-Tenancy</t>
        </is>
      </c>
      <c r="B43" s="3">
        <f>IFERROR(AVERAGEIF('Module Audit'!C2:C85,A43,'Module Audit'!G2:G85),0)</f>
        <v/>
      </c>
      <c r="C43">
        <f>COUNTIF('Module Audit'!C2:C85,A43)</f>
        <v/>
      </c>
    </row>
    <row r="44">
      <c r="A44" t="inlineStr">
        <is>
          <t>M9 – Alerts &amp; Notifications Engine</t>
        </is>
      </c>
      <c r="B44" s="3">
        <f>IFERROR(AVERAGEIF('Module Audit'!C2:C85,A44,'Module Audit'!G2:G85),0)</f>
        <v/>
      </c>
      <c r="C44">
        <f>COUNTIF('Module Audit'!C2:C85,A44)</f>
        <v/>
      </c>
    </row>
    <row r="47">
      <c r="A47" s="4" t="inlineStr">
        <is>
          <t>Top Must-Priority Blockers (Worst Shape First)</t>
        </is>
      </c>
    </row>
    <row r="48">
      <c r="A48" s="2" t="inlineStr">
        <is>
          <t>ID</t>
        </is>
      </c>
      <c r="B48" s="2" t="inlineStr">
        <is>
          <t>Feature</t>
        </is>
      </c>
      <c r="C48" s="2" t="inlineStr">
        <is>
          <t>Status</t>
        </is>
      </c>
      <c r="D48" s="2" t="inlineStr">
        <is>
          <t>Blocker</t>
        </is>
      </c>
    </row>
    <row r="49">
      <c r="A49" t="inlineStr">
        <is>
          <t>M8-02</t>
        </is>
      </c>
      <c r="B49" t="inlineStr">
        <is>
          <t>Password reset / forgot password</t>
        </is>
      </c>
      <c r="C49" s="8" t="inlineStr">
        <is>
          <t>Scaffolded</t>
        </is>
      </c>
      <c r="D49" t="inlineStr">
        <is>
          <t>Zero backend implementation – no reset token generation, no email dispatch, no confirm endpoint</t>
        </is>
      </c>
    </row>
    <row r="50">
      <c r="A50" t="inlineStr">
        <is>
          <t>M9-02</t>
        </is>
      </c>
      <c r="B50" t="inlineStr">
        <is>
          <t>Multi-channel delivery</t>
        </is>
      </c>
      <c r="C50" s="8" t="inlineStr">
        <is>
          <t>Scaffolded</t>
        </is>
      </c>
      <c r="D50" t="inlineStr">
        <is>
          <t>Only in_app channel works; SMS/email/WhatsApp channels go to console stdout</t>
        </is>
      </c>
    </row>
    <row r="51">
      <c r="A51" t="inlineStr">
        <is>
          <t>M11-06</t>
        </is>
      </c>
      <c r="B51" t="inlineStr">
        <is>
          <t>SMS/OTP gateway integration</t>
        </is>
      </c>
      <c r="C51" s="8" t="inlineStr">
        <is>
          <t>Scaffolded</t>
        </is>
      </c>
      <c r="D51" t="inlineStr">
        <is>
          <t>SMS_BACKEND=console – no real SMS gateway configured</t>
        </is>
      </c>
    </row>
    <row r="52">
      <c r="A52" t="inlineStr">
        <is>
          <t>M0-02</t>
        </is>
      </c>
      <c r="B52" t="inlineStr">
        <is>
          <t>Company onboarding &amp; approval queue</t>
        </is>
      </c>
      <c r="C52" s="7" t="inlineStr">
        <is>
          <t>Partially Working</t>
        </is>
      </c>
      <c r="D52" t="inlineStr">
        <is>
          <t>test_company_approval_and_suspension_gating fails – approval status logic bug</t>
        </is>
      </c>
    </row>
    <row r="53">
      <c r="A53" t="inlineStr">
        <is>
          <t>M0-04</t>
        </is>
      </c>
      <c r="B53" t="inlineStr">
        <is>
          <t>Global feature flags &amp; method toggles</t>
        </is>
      </c>
      <c r="C53" s="7" t="inlineStr">
        <is>
          <t>Partially Working</t>
        </is>
      </c>
      <c r="D53" t="inlineStr">
        <is>
          <t>No /api/platform-settings/ endpoint; feature flag CRUD not wired to admin UI</t>
        </is>
      </c>
    </row>
    <row r="54">
      <c r="A54" t="inlineStr">
        <is>
          <t>M1-01</t>
        </is>
      </c>
      <c r="B54" t="inlineStr">
        <is>
          <t>Company self sign-up wizard</t>
        </is>
      </c>
      <c r="C54" s="7" t="inlineStr">
        <is>
          <t>Partially Working</t>
        </is>
      </c>
      <c r="D54" t="inlineStr">
        <is>
          <t>Registration validation test fails; CAPTCHA is MOCK_CAPTCHA_TOKEN (src/routes/$companySlug.tsx:187)</t>
        </is>
      </c>
    </row>
    <row r="55">
      <c r="A55" t="inlineStr">
        <is>
          <t>M1-02</t>
        </is>
      </c>
      <c r="B55" t="inlineStr">
        <is>
          <t>Company profile &amp; branding</t>
        </is>
      </c>
      <c r="C55" s="7" t="inlineStr">
        <is>
          <t>Partially Working</t>
        </is>
      </c>
      <c r="D55" t="inlineStr">
        <is>
          <t>Assets stored locally, not S3 – not production-ready; no AWS_S3 credentials</t>
        </is>
      </c>
    </row>
    <row r="56">
      <c r="A56" t="inlineStr">
        <is>
          <t>M1-05</t>
        </is>
      </c>
      <c r="B56" t="inlineStr">
        <is>
          <t>Onboarding approval workflow</t>
        </is>
      </c>
      <c r="C56" s="7" t="inlineStr">
        <is>
          <t>Partially Working</t>
        </is>
      </c>
      <c r="D56" t="inlineStr">
        <is>
          <t>Approval status transition bug – test assert fails</t>
        </is>
      </c>
    </row>
    <row r="57">
      <c r="A57" t="inlineStr">
        <is>
          <t>M2-01</t>
        </is>
      </c>
      <c r="B57" t="inlineStr">
        <is>
          <t>Plan purchase / checkout</t>
        </is>
      </c>
      <c r="C57" s="7" t="inlineStr">
        <is>
          <t>Partially Working</t>
        </is>
      </c>
      <c r="D57" t="inlineStr">
        <is>
          <t>STRIPE_SECRET_KEY not in .env; Stripe integration unverifiable without credentials</t>
        </is>
      </c>
    </row>
    <row r="58">
      <c r="A58" t="inlineStr">
        <is>
          <t>M3-05</t>
        </is>
      </c>
      <c r="B58" t="inlineStr">
        <is>
          <t>Report export (CSV/PDF)</t>
        </is>
      </c>
      <c r="C58" s="7" t="inlineStr">
        <is>
          <t>Partially Working</t>
        </is>
      </c>
      <c r="D58" t="inlineStr">
        <is>
          <t>PDF export not implemented (spec says CSV/PDF – only CSV present); reportlab/weasyprint not confirmed installed</t>
        </is>
      </c>
    </row>
    <row r="59">
      <c r="A59" t="inlineStr">
        <is>
          <t>M4-04</t>
        </is>
      </c>
      <c r="B59" t="inlineStr">
        <is>
          <t>QR code generation &amp; branding</t>
        </is>
      </c>
      <c r="C59" s="7" t="inlineStr">
        <is>
          <t>Partially Working</t>
        </is>
      </c>
      <c r="D59" t="inlineStr">
        <is>
          <t>RBAC gate on QrCodeGenerateView missing – wrong role can generate QR (test_rbac.py FAILS)</t>
        </is>
      </c>
    </row>
    <row r="60">
      <c r="A60" t="inlineStr">
        <is>
          <t>M5-06</t>
        </is>
      </c>
      <c r="B60" t="inlineStr">
        <is>
          <t>Method 4: OTP verification</t>
        </is>
      </c>
      <c r="C60" s="7" t="inlineStr">
        <is>
          <t>Partially Working</t>
        </is>
      </c>
      <c r="D60" t="inlineStr">
        <is>
          <t>SMS_BACKEND=console – real SMS not delivered; no MSG91/Twilio credentials in .env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8" customWidth="1" min="4" max="4"/>
    <col width="10" customWidth="1" min="5" max="5"/>
    <col width="18" customWidth="1" min="6" max="6"/>
    <col width="8" customWidth="1" min="7" max="7"/>
    <col width="48" customWidth="1" min="8" max="8"/>
    <col width="38" customWidth="1" min="9" max="9"/>
    <col width="10" customWidth="1" min="10" max="10"/>
    <col width="22" customWidth="1" min="11" max="11"/>
    <col width="12" customWidth="1" min="12" max="12"/>
    <col width="48" customWidth="1" min="13" max="13"/>
    <col width="48" customWidth="1" min="14" max="14"/>
    <col width="40" customWidth="1" min="15" max="15"/>
  </cols>
  <sheetData>
    <row r="1" ht="36" customHeight="1">
      <c r="A1" s="15" t="inlineStr">
        <is>
          <t>ID</t>
        </is>
      </c>
      <c r="B1" s="15" t="inlineStr">
        <is>
          <t>Feature</t>
        </is>
      </c>
      <c r="C1" s="15" t="inlineStr">
        <is>
          <t>Module Group</t>
        </is>
      </c>
      <c r="D1" s="15" t="inlineStr">
        <is>
          <t>Priority</t>
        </is>
      </c>
      <c r="E1" s="15" t="inlineStr">
        <is>
          <t>Complexity</t>
        </is>
      </c>
      <c r="F1" s="15" t="inlineStr">
        <is>
          <t>Status</t>
        </is>
      </c>
      <c r="G1" s="15" t="inlineStr">
        <is>
          <t>% Complete</t>
        </is>
      </c>
      <c r="H1" s="15" t="inlineStr">
        <is>
          <t>Backend Evidence</t>
        </is>
      </c>
      <c r="I1" s="15" t="inlineStr">
        <is>
          <t>Frontend Evidence</t>
        </is>
      </c>
      <c r="J1" s="15" t="inlineStr">
        <is>
          <t>End-to-End Wired?</t>
        </is>
      </c>
      <c r="K1" s="15" t="inlineStr">
        <is>
          <t>Tested?</t>
        </is>
      </c>
      <c r="L1" s="15" t="inlineStr">
        <is>
          <t>Confidence</t>
        </is>
      </c>
      <c r="M1" s="15" t="inlineStr">
        <is>
          <t>Verification Method</t>
        </is>
      </c>
      <c r="N1" s="15" t="inlineStr">
        <is>
          <t>Blockers</t>
        </is>
      </c>
      <c r="O1" s="15" t="inlineStr">
        <is>
          <t>Next Step to Close Gap</t>
        </is>
      </c>
    </row>
    <row r="2" ht="58" customHeight="1">
      <c r="A2" s="16" t="inlineStr">
        <is>
          <t>M0-01</t>
        </is>
      </c>
      <c r="B2" s="16" t="inlineStr">
        <is>
          <t>Platform Super Admin console login</t>
        </is>
      </c>
      <c r="C2" s="16" t="inlineStr">
        <is>
          <t>M0 – Platform Administration</t>
        </is>
      </c>
      <c r="D2" s="17" t="inlineStr">
        <is>
          <t>Must</t>
        </is>
      </c>
      <c r="E2" s="16" t="inlineStr">
        <is>
          <t>Low</t>
        </is>
      </c>
      <c r="F2" s="18" t="inlineStr">
        <is>
          <t>Fully Working</t>
        </is>
      </c>
      <c r="G2" s="19" t="n">
        <v>100</v>
      </c>
      <c r="H2" s="16" t="inlineStr">
        <is>
          <t>accounts/views.py:CustomTokenObtainPairView + RBAC role=super_admin; POST /api/auth/login/</t>
        </is>
      </c>
      <c r="I2" s="16" t="inlineStr">
        <is>
          <t>src/routes/login.tsx + src/routes/app.tsx (SuperAdminView gating); super-admin.tsx (1530 lines)</t>
        </is>
      </c>
      <c r="J2" s="16" t="inlineStr">
        <is>
          <t>Y</t>
        </is>
      </c>
      <c r="K2" s="16" t="inlineStr">
        <is>
          <t>Y – test_auth.py (5 pass); test_rbac.py partial</t>
        </is>
      </c>
      <c r="L2" s="16" t="inlineStr">
        <is>
          <t>High</t>
        </is>
      </c>
      <c r="M2" s="16" t="inlineStr">
        <is>
          <t>Ran pytest tests/ – test_auth.py all pass; manually confirmed login flow in prior session</t>
        </is>
      </c>
      <c r="N2" s="16" t="inlineStr">
        <is>
          <t>None</t>
        </is>
      </c>
      <c r="O2" s="16" t="inlineStr">
        <is>
          <t>—</t>
        </is>
      </c>
    </row>
    <row r="3" ht="58" customHeight="1">
      <c r="A3" s="16" t="inlineStr">
        <is>
          <t>M0-02</t>
        </is>
      </c>
      <c r="B3" s="16" t="inlineStr">
        <is>
          <t>Company onboarding &amp; approval queue</t>
        </is>
      </c>
      <c r="C3" s="16" t="inlineStr">
        <is>
          <t>M0 – Platform Administration</t>
        </is>
      </c>
      <c r="D3" s="17" t="inlineStr">
        <is>
          <t>Must</t>
        </is>
      </c>
      <c r="E3" s="16" t="inlineStr">
        <is>
          <t>Medium</t>
        </is>
      </c>
      <c r="F3" s="20" t="inlineStr">
        <is>
          <t>Partially Working</t>
        </is>
      </c>
      <c r="G3" s="19" t="n">
        <v>50</v>
      </c>
      <c r="H3" s="16" t="inlineStr">
        <is>
          <t>companies/views.py:CompanyViewSet (approve/reject actions); POST /api/companies/register/</t>
        </is>
      </c>
      <c r="I3" s="16" t="inlineStr">
        <is>
          <t>super-admin.tsx – companies view with approve/reject; test_phase1.py::test_company_approval_and_suspension_gating FAILED</t>
        </is>
      </c>
      <c r="J3" s="16" t="inlineStr">
        <is>
          <t>N</t>
        </is>
      </c>
      <c r="K3" s="16" t="inlineStr">
        <is>
          <t>N – test_phase1.py::test_company_approval_and_suspension_gating FAILED</t>
        </is>
      </c>
      <c r="L3" s="16" t="inlineStr">
        <is>
          <t>High</t>
        </is>
      </c>
      <c r="M3" s="16" t="inlineStr">
        <is>
          <t>Ran pytest tests/test_phase1.py – test_company_approval_and_suspension_gating FAILED (assert status active after approval returned wrong state)</t>
        </is>
      </c>
      <c r="N3" s="16" t="inlineStr">
        <is>
          <t>test_company_approval_and_suspension_gating fails – approval status logic bug</t>
        </is>
      </c>
      <c r="O3" s="16" t="inlineStr">
        <is>
          <t>Fix company approval view status transition; re-run test_phase1.py</t>
        </is>
      </c>
    </row>
    <row r="4" ht="58" customHeight="1">
      <c r="A4" s="16" t="inlineStr">
        <is>
          <t>M0-03</t>
        </is>
      </c>
      <c r="B4" s="16" t="inlineStr">
        <is>
          <t>Package/plan CRUD</t>
        </is>
      </c>
      <c r="C4" s="16" t="inlineStr">
        <is>
          <t>M0 – Platform Administration</t>
        </is>
      </c>
      <c r="D4" s="17" t="inlineStr">
        <is>
          <t>Must</t>
        </is>
      </c>
      <c r="E4" s="16" t="inlineStr">
        <is>
          <t>Medium</t>
        </is>
      </c>
      <c r="F4" s="18" t="inlineStr">
        <is>
          <t>Fully Working</t>
        </is>
      </c>
      <c r="G4" s="19" t="n">
        <v>100</v>
      </c>
      <c r="H4" s="16" t="inlineStr">
        <is>
          <t>billing/views.py:PlanComponentViewSet (IsSuperAdmin); /api/billing/plan-components/; PriceChangeLog signal on update</t>
        </is>
      </c>
      <c r="I4" s="16" t="inlineStr">
        <is>
          <t>super-admin.tsx – plan components tab with full CRUD UI</t>
        </is>
      </c>
      <c r="J4" s="16" t="inlineStr">
        <is>
          <t>Y</t>
        </is>
      </c>
      <c r="K4" s="16" t="inlineStr">
        <is>
          <t>Y – test_phase7.py covers plan components</t>
        </is>
      </c>
      <c r="L4" s="16" t="inlineStr">
        <is>
          <t>High</t>
        </is>
      </c>
      <c r="M4" s="16" t="inlineStr">
        <is>
          <t>Read code; ran pytest tests/test_phase7.py – relevant tests pass</t>
        </is>
      </c>
      <c r="N4" s="16" t="inlineStr">
        <is>
          <t>None</t>
        </is>
      </c>
      <c r="O4" s="16" t="inlineStr">
        <is>
          <t>—</t>
        </is>
      </c>
    </row>
    <row r="5" ht="58" customHeight="1">
      <c r="A5" s="16" t="inlineStr">
        <is>
          <t>M0-04</t>
        </is>
      </c>
      <c r="B5" s="16" t="inlineStr">
        <is>
          <t>Global feature flags &amp; method toggles</t>
        </is>
      </c>
      <c r="C5" s="16" t="inlineStr">
        <is>
          <t>M0 – Platform Administration</t>
        </is>
      </c>
      <c r="D5" s="17" t="inlineStr">
        <is>
          <t>Must</t>
        </is>
      </c>
      <c r="E5" s="16" t="inlineStr">
        <is>
          <t>Medium</t>
        </is>
      </c>
      <c r="F5" s="20" t="inlineStr">
        <is>
          <t>Partially Working</t>
        </is>
      </c>
      <c r="G5" s="19" t="n">
        <v>50</v>
      </c>
      <c r="H5" s="16" t="inlineStr">
        <is>
          <t>core/models.py:PlatformSetting; companies/views.py reads registration_open flag; QueueMethod model with is_enabled toggle</t>
        </is>
      </c>
      <c r="I5" s="16" t="inlineStr">
        <is>
          <t>super-admin.tsx renders some settings; no dedicated PlatformSettings CRUD endpoint registered in urls.py</t>
        </is>
      </c>
      <c r="J5" s="16" t="inlineStr">
        <is>
          <t>N</t>
        </is>
      </c>
      <c r="K5" s="16" t="inlineStr">
        <is>
          <t>N</t>
        </is>
      </c>
      <c r="L5" s="16" t="inlineStr">
        <is>
          <t>High</t>
        </is>
      </c>
      <c r="M5" s="16" t="inlineStr">
        <is>
          <t>Searched urls.py exhaustively – no /api/platform-settings/ route exists; code reads settings but no admin CRUD endpoint</t>
        </is>
      </c>
      <c r="N5" s="16" t="inlineStr">
        <is>
          <t>No /api/platform-settings/ endpoint; feature flag CRUD not wired to admin UI</t>
        </is>
      </c>
      <c r="O5" s="16" t="inlineStr">
        <is>
          <t>Register PlatformSetting ViewSet in urls.py and wire to super-admin flags tab</t>
        </is>
      </c>
    </row>
    <row r="6" ht="58" customHeight="1">
      <c r="A6" s="16" t="inlineStr">
        <is>
          <t>M0-05</t>
        </is>
      </c>
      <c r="B6" s="16" t="inlineStr">
        <is>
          <t>Platform-wide analytics</t>
        </is>
      </c>
      <c r="C6" s="16" t="inlineStr">
        <is>
          <t>M0 – Platform Administration</t>
        </is>
      </c>
      <c r="D6" s="21" t="inlineStr">
        <is>
          <t>Should</t>
        </is>
      </c>
      <c r="E6" s="16" t="inlineStr">
        <is>
          <t>Medium</t>
        </is>
      </c>
      <c r="F6" s="20" t="inlineStr">
        <is>
          <t>Partially Working</t>
        </is>
      </c>
      <c r="G6" s="19" t="n">
        <v>50</v>
      </c>
      <c r="H6" s="16" t="inlineStr">
        <is>
          <t>analytics/views.py:ReportTrendsView (super_admin role returns all snapshots)</t>
        </is>
      </c>
      <c r="I6" s="16" t="inlineStr">
        <is>
          <t>super-admin.tsx – dashboard shows MRR and total waiting (locally computed from state.companies/branches, not a dedicated API aggregate)</t>
        </is>
      </c>
      <c r="J6" s="16" t="inlineStr">
        <is>
          <t>N</t>
        </is>
      </c>
      <c r="K6" s="16" t="inlineStr">
        <is>
          <t>N</t>
        </is>
      </c>
      <c r="L6" s="16" t="inlineStr">
        <is>
          <t>High</t>
        </is>
      </c>
      <c r="M6" s="16" t="inlineStr">
        <is>
          <t>Read super-admin.tsx:19-21 – MRR = reduce over state.companies.monthlySpend (client-side only); no /api/platform/stats endpoint</t>
        </is>
      </c>
      <c r="N6" s="16" t="inlineStr">
        <is>
          <t>Platform KPIs (MRR, ARR) are computed client-side from already-loaded company list – not a real aggregate</t>
        </is>
      </c>
      <c r="O6" s="16" t="inlineStr">
        <is>
          <t>Add GET /api/platform/stats/ view for server-side KPI aggregation</t>
        </is>
      </c>
    </row>
    <row r="7" ht="58" customHeight="1">
      <c r="A7" s="16" t="inlineStr">
        <is>
          <t>M0-06</t>
        </is>
      </c>
      <c r="B7" s="16" t="inlineStr">
        <is>
          <t>Upgrade/add-on request workflow</t>
        </is>
      </c>
      <c r="C7" s="16" t="inlineStr">
        <is>
          <t>M0 – Platform Administration</t>
        </is>
      </c>
      <c r="D7" s="17" t="inlineStr">
        <is>
          <t>Must</t>
        </is>
      </c>
      <c r="E7" s="16" t="inlineStr">
        <is>
          <t>Medium</t>
        </is>
      </c>
      <c r="F7" s="18" t="inlineStr">
        <is>
          <t>Fully Working</t>
        </is>
      </c>
      <c r="G7" s="19" t="n">
        <v>100</v>
      </c>
      <c r="H7" s="16" t="inlineStr">
        <is>
          <t>billing/models.py:UpgradeRequest; billing/views.py:UpgradeRequestViewSet; /api/upgrades/</t>
        </is>
      </c>
      <c r="I7" s="16" t="inlineStr">
        <is>
          <t>super-admin.tsx – upgrade requests view; company-admin.tsx – upgrade CTA</t>
        </is>
      </c>
      <c r="J7" s="16" t="inlineStr">
        <is>
          <t>Y</t>
        </is>
      </c>
      <c r="K7" s="16" t="inlineStr">
        <is>
          <t>N</t>
        </is>
      </c>
      <c r="L7" s="16" t="inlineStr">
        <is>
          <t>High</t>
        </is>
      </c>
      <c r="M7" s="16" t="inlineStr">
        <is>
          <t>Read code; endpoints confirmed in urls.py; UI confirmed in super-admin.tsx</t>
        </is>
      </c>
      <c r="N7" s="16" t="inlineStr">
        <is>
          <t>None</t>
        </is>
      </c>
      <c r="O7" s="16" t="inlineStr">
        <is>
          <t>Add test_upgrade_request.py</t>
        </is>
      </c>
    </row>
    <row r="8" ht="58" customHeight="1">
      <c r="A8" s="16" t="inlineStr">
        <is>
          <t>M0-07</t>
        </is>
      </c>
      <c r="B8" s="16" t="inlineStr">
        <is>
          <t>Global notification templates</t>
        </is>
      </c>
      <c r="C8" s="16" t="inlineStr">
        <is>
          <t>M0 – Platform Administration</t>
        </is>
      </c>
      <c r="D8" s="21" t="inlineStr">
        <is>
          <t>Should</t>
        </is>
      </c>
      <c r="E8" s="16" t="inlineStr">
        <is>
          <t>Low</t>
        </is>
      </c>
      <c r="F8" s="18" t="inlineStr">
        <is>
          <t>Fully Working</t>
        </is>
      </c>
      <c r="G8" s="19" t="n">
        <v>100</v>
      </c>
      <c r="H8" s="16" t="inlineStr">
        <is>
          <t>notifications/views.py:NotificationTemplateViewSet; /api/notification-templates/</t>
        </is>
      </c>
      <c r="I8" s="16" t="inlineStr">
        <is>
          <t>N/A – no dedicated template editor UI for super admin found</t>
        </is>
      </c>
      <c r="J8" s="16" t="inlineStr">
        <is>
          <t>Y</t>
        </is>
      </c>
      <c r="K8" s="16" t="inlineStr">
        <is>
          <t>N</t>
        </is>
      </c>
      <c r="L8" s="16" t="inlineStr">
        <is>
          <t>High</t>
        </is>
      </c>
      <c r="M8" s="16" t="inlineStr">
        <is>
          <t>Read code; endpoint confirmed in urls.py and router</t>
        </is>
      </c>
      <c r="N8" s="16" t="inlineStr">
        <is>
          <t>Super admin UI for template editing not implemented in frontend</t>
        </is>
      </c>
      <c r="O8" s="16" t="inlineStr">
        <is>
          <t>Add NotificationTemplate editor tab to super-admin.tsx</t>
        </is>
      </c>
    </row>
    <row r="9" ht="58" customHeight="1">
      <c r="A9" s="16" t="inlineStr">
        <is>
          <t>M0-08</t>
        </is>
      </c>
      <c r="B9" s="16" t="inlineStr">
        <is>
          <t>Platform support/impersonation tools</t>
        </is>
      </c>
      <c r="C9" s="16" t="inlineStr">
        <is>
          <t>M0 – Platform Administration</t>
        </is>
      </c>
      <c r="D9" s="22" t="inlineStr">
        <is>
          <t>Could</t>
        </is>
      </c>
      <c r="E9" s="16" t="inlineStr">
        <is>
          <t>Medium</t>
        </is>
      </c>
      <c r="F9" s="23" t="inlineStr">
        <is>
          <t>Not Started</t>
        </is>
      </c>
      <c r="G9" s="19" t="n">
        <v>0</v>
      </c>
      <c r="H9" s="16" t="inlineStr">
        <is>
          <t>N/A – searched all views.py for 'impersonat|switch_user|support_tool' – zero hits</t>
        </is>
      </c>
      <c r="I9" s="16" t="inlineStr">
        <is>
          <t>N/A</t>
        </is>
      </c>
      <c r="J9" s="16" t="inlineStr">
        <is>
          <t>N</t>
        </is>
      </c>
      <c r="K9" s="16" t="inlineStr">
        <is>
          <t>N</t>
        </is>
      </c>
      <c r="L9" s="16" t="inlineStr">
        <is>
          <t>High</t>
        </is>
      </c>
      <c r="M9" s="16" t="inlineStr">
        <is>
          <t>grep across entire backend directory for impersonat|SwitchUser|support_tool – no results</t>
        </is>
      </c>
      <c r="N9" s="16" t="inlineStr">
        <is>
          <t>Feature entirely absent</t>
        </is>
      </c>
      <c r="O9" s="16" t="inlineStr">
        <is>
          <t>Implement if required (could use django-hijack or custom JWT impersonation)</t>
        </is>
      </c>
    </row>
    <row r="10" ht="58" customHeight="1">
      <c r="A10" s="16" t="inlineStr">
        <is>
          <t>M1-01</t>
        </is>
      </c>
      <c r="B10" s="16" t="inlineStr">
        <is>
          <t>Company self sign-up wizard</t>
        </is>
      </c>
      <c r="C10" s="16" t="inlineStr">
        <is>
          <t>M1 – Company &amp; Multi-Branch Registration</t>
        </is>
      </c>
      <c r="D10" s="17" t="inlineStr">
        <is>
          <t>Must</t>
        </is>
      </c>
      <c r="E10" s="16" t="inlineStr">
        <is>
          <t>Medium</t>
        </is>
      </c>
      <c r="F10" s="20" t="inlineStr">
        <is>
          <t>Partially Working</t>
        </is>
      </c>
      <c r="G10" s="19" t="n">
        <v>50</v>
      </c>
      <c r="H10" s="16" t="inlineStr">
        <is>
          <t>companies/views.py:CompanyRegistrationView; POST /api/companies/register/</t>
        </is>
      </c>
      <c r="I10" s="16" t="inlineStr">
        <is>
          <t>src/routes/signup.tsx (42 KB multi-step wizard)</t>
        </is>
      </c>
      <c r="J10" s="16" t="inlineStr">
        <is>
          <t>N</t>
        </is>
      </c>
      <c r="K10" s="16" t="inlineStr">
        <is>
          <t>N – test_phase1.py::test_company_registration_validation FAILED</t>
        </is>
      </c>
      <c r="L10" s="16" t="inlineStr">
        <is>
          <t>High</t>
        </is>
      </c>
      <c r="M10" s="16" t="inlineStr">
        <is>
          <t>Ran pytest tests/test_phase1.py – test_company_registration_validation FAILED (assert 400 but got different status)</t>
        </is>
      </c>
      <c r="N10" s="16" t="inlineStr">
        <is>
          <t>Registration validation test fails; CAPTCHA is MOCK_CAPTCHA_TOKEN (src/routes/$companySlug.tsx:187)</t>
        </is>
      </c>
      <c r="O10" s="16" t="inlineStr">
        <is>
          <t>Fix validation logic in CompanyRegistrationView; integrate real CAPTCHA</t>
        </is>
      </c>
    </row>
    <row r="11" ht="58" customHeight="1">
      <c r="A11" s="16" t="inlineStr">
        <is>
          <t>M1-02</t>
        </is>
      </c>
      <c r="B11" s="16" t="inlineStr">
        <is>
          <t>Company profile &amp; branding</t>
        </is>
      </c>
      <c r="C11" s="16" t="inlineStr">
        <is>
          <t>M1 – Company &amp; Multi-Branch Registration</t>
        </is>
      </c>
      <c r="D11" s="17" t="inlineStr">
        <is>
          <t>Must</t>
        </is>
      </c>
      <c r="E11" s="16" t="inlineStr">
        <is>
          <t>Low</t>
        </is>
      </c>
      <c r="F11" s="20" t="inlineStr">
        <is>
          <t>Partially Working</t>
        </is>
      </c>
      <c r="G11" s="19" t="n">
        <v>50</v>
      </c>
      <c r="H11" s="16" t="inlineStr">
        <is>
          <t>companies/models.py:Company (logo_url, brand_colors JSONField); CompanyViewSet partial_update</t>
        </is>
      </c>
      <c r="I11" s="16" t="inlineStr">
        <is>
          <t>company-admin.tsx – settings/branding tab; signup.tsx branding step</t>
        </is>
      </c>
      <c r="J11" s="16" t="inlineStr">
        <is>
          <t>Y</t>
        </is>
      </c>
      <c r="K11" s="16" t="inlineStr">
        <is>
          <t>N</t>
        </is>
      </c>
      <c r="L11" s="16" t="inlineStr">
        <is>
          <t>High</t>
        </is>
      </c>
      <c r="M11" s="16" t="inlineStr">
        <is>
          <t>Read companies/models.py – logo_url and brand_colors fields exist; no S3 storage configured (default_storage is local)</t>
        </is>
      </c>
      <c r="N11" s="16" t="inlineStr">
        <is>
          <t>Assets stored locally, not S3 – not production-ready; no AWS_S3 credentials</t>
        </is>
      </c>
      <c r="O11" s="16" t="inlineStr">
        <is>
          <t>Configure AWS S3/Cloudflare R2 storage backend in settings.py</t>
        </is>
      </c>
    </row>
    <row r="12" ht="58" customHeight="1">
      <c r="A12" s="16" t="inlineStr">
        <is>
          <t>M1-03</t>
        </is>
      </c>
      <c r="B12" s="16" t="inlineStr">
        <is>
          <t>Branch creation &amp; management</t>
        </is>
      </c>
      <c r="C12" s="16" t="inlineStr">
        <is>
          <t>M1 – Company &amp; Multi-Branch Registration</t>
        </is>
      </c>
      <c r="D12" s="17" t="inlineStr">
        <is>
          <t>Must</t>
        </is>
      </c>
      <c r="E12" s="16" t="inlineStr">
        <is>
          <t>Medium</t>
        </is>
      </c>
      <c r="F12" s="18" t="inlineStr">
        <is>
          <t>Fully Working</t>
        </is>
      </c>
      <c r="G12" s="19" t="n">
        <v>100</v>
      </c>
      <c r="H12" s="16" t="inlineStr">
        <is>
          <t>branches/views.py:BranchViewSet; /api/branches/; Branch.operating_hours JSONField</t>
        </is>
      </c>
      <c r="I12" s="16" t="inlineStr">
        <is>
          <t>company-admin.tsx – branches tab with create/edit/archive</t>
        </is>
      </c>
      <c r="J12" s="16" t="inlineStr">
        <is>
          <t>Y</t>
        </is>
      </c>
      <c r="K12" s="16" t="inlineStr">
        <is>
          <t>Y – test_phase1.py passes</t>
        </is>
      </c>
      <c r="L12" s="16" t="inlineStr">
        <is>
          <t>High</t>
        </is>
      </c>
      <c r="M12" s="16" t="inlineStr">
        <is>
          <t>Ran pytest tests/test_phase1.py; branches tests pass; read models.py</t>
        </is>
      </c>
      <c r="N12" s="16" t="inlineStr">
        <is>
          <t>None</t>
        </is>
      </c>
      <c r="O12" s="16" t="inlineStr">
        <is>
          <t>—</t>
        </is>
      </c>
    </row>
    <row r="13" ht="58" customHeight="1">
      <c r="A13" s="16" t="inlineStr">
        <is>
          <t>M1-04</t>
        </is>
      </c>
      <c r="B13" s="16" t="inlineStr">
        <is>
          <t>Branch-level package override</t>
        </is>
      </c>
      <c r="C13" s="16" t="inlineStr">
        <is>
          <t>M1 – Company &amp; Multi-Branch Registration</t>
        </is>
      </c>
      <c r="D13" s="21" t="inlineStr">
        <is>
          <t>Should</t>
        </is>
      </c>
      <c r="E13" s="16" t="inlineStr">
        <is>
          <t>Medium</t>
        </is>
      </c>
      <c r="F13" s="18" t="inlineStr">
        <is>
          <t>Fully Working</t>
        </is>
      </c>
      <c r="G13" s="19" t="n">
        <v>100</v>
      </c>
      <c r="H13" s="16" t="inlineStr">
        <is>
          <t>billing/models.py:CompanyPlanAllocation (branch FK – per-branch allocation); /api/billing/allocations/</t>
        </is>
      </c>
      <c r="I13" s="16" t="inlineStr">
        <is>
          <t>billing-plan-configurator.tsx – branch-level component allocation</t>
        </is>
      </c>
      <c r="J13" s="16" t="inlineStr">
        <is>
          <t>Y</t>
        </is>
      </c>
      <c r="K13" s="16" t="inlineStr">
        <is>
          <t>Y – test_phase7.py covers allocations</t>
        </is>
      </c>
      <c r="L13" s="16" t="inlineStr">
        <is>
          <t>High</t>
        </is>
      </c>
      <c r="M13" s="16" t="inlineStr">
        <is>
          <t>Read billing/models.py:56 – CompanyPlanAllocation has nullable branch FK enabling per-branch overrides</t>
        </is>
      </c>
      <c r="N13" s="16" t="inlineStr">
        <is>
          <t>None</t>
        </is>
      </c>
      <c r="O13" s="16" t="inlineStr">
        <is>
          <t>—</t>
        </is>
      </c>
    </row>
    <row r="14" ht="58" customHeight="1">
      <c r="A14" s="16" t="inlineStr">
        <is>
          <t>M1-05</t>
        </is>
      </c>
      <c r="B14" s="16" t="inlineStr">
        <is>
          <t>Onboarding approval workflow</t>
        </is>
      </c>
      <c r="C14" s="16" t="inlineStr">
        <is>
          <t>M1 – Company &amp; Multi-Branch Registration</t>
        </is>
      </c>
      <c r="D14" s="17" t="inlineStr">
        <is>
          <t>Must</t>
        </is>
      </c>
      <c r="E14" s="16" t="inlineStr">
        <is>
          <t>Low</t>
        </is>
      </c>
      <c r="F14" s="20" t="inlineStr">
        <is>
          <t>Partially Working</t>
        </is>
      </c>
      <c r="G14" s="19" t="n">
        <v>50</v>
      </c>
      <c r="H14" s="16" t="inlineStr">
        <is>
          <t>companies/models.py:Company.status choices (draft→pending→active→suspended); CompanyViewSet approve/reject actions</t>
        </is>
      </c>
      <c r="I14" s="16" t="inlineStr">
        <is>
          <t>super-admin.tsx – companies view; approval buttons</t>
        </is>
      </c>
      <c r="J14" s="16" t="inlineStr">
        <is>
          <t>N</t>
        </is>
      </c>
      <c r="K14" s="16" t="inlineStr">
        <is>
          <t>N – test_phase1.py::test_company_approval_and_suspension_gating FAILED</t>
        </is>
      </c>
      <c r="L14" s="16" t="inlineStr">
        <is>
          <t>High</t>
        </is>
      </c>
      <c r="M14" s="16" t="inlineStr">
        <is>
          <t>Ran pytest – test_company_approval_and_suspension_gating FAILED; status transition bug confirmed</t>
        </is>
      </c>
      <c r="N14" s="16" t="inlineStr">
        <is>
          <t>Approval status transition bug – test assert fails</t>
        </is>
      </c>
      <c r="O14" s="16" t="inlineStr">
        <is>
          <t>Fix companies/views.py approve action to correctly set status=active</t>
        </is>
      </c>
    </row>
    <row r="15" ht="58" customHeight="1">
      <c r="A15" s="16" t="inlineStr">
        <is>
          <t>M1-06</t>
        </is>
      </c>
      <c r="B15" s="16" t="inlineStr">
        <is>
          <t>Company KYC / document upload</t>
        </is>
      </c>
      <c r="C15" s="16" t="inlineStr">
        <is>
          <t>M1 – Company &amp; Multi-Branch Registration</t>
        </is>
      </c>
      <c r="D15" s="22" t="inlineStr">
        <is>
          <t>Could</t>
        </is>
      </c>
      <c r="E15" s="16" t="inlineStr">
        <is>
          <t>Low</t>
        </is>
      </c>
      <c r="F15" s="23" t="inlineStr">
        <is>
          <t>Not Started</t>
        </is>
      </c>
      <c r="G15" s="19" t="n">
        <v>0</v>
      </c>
      <c r="H15" s="16" t="inlineStr">
        <is>
          <t>N/A – no KYC model or endpoint found</t>
        </is>
      </c>
      <c r="I15" s="16" t="inlineStr">
        <is>
          <t>N/A</t>
        </is>
      </c>
      <c r="J15" s="16" t="inlineStr">
        <is>
          <t>N</t>
        </is>
      </c>
      <c r="K15" s="16" t="inlineStr">
        <is>
          <t>N</t>
        </is>
      </c>
      <c r="L15" s="16" t="inlineStr">
        <is>
          <t>High</t>
        </is>
      </c>
      <c r="M15" s="16" t="inlineStr">
        <is>
          <t>Searched all models.py for kyc|document|registration_doc – zero hits; confirmed Not in v1.0 spec per breakdown notes</t>
        </is>
      </c>
      <c r="N15" s="16" t="inlineStr">
        <is>
          <t>Not in v1.0 scope per breakdown sheet notes</t>
        </is>
      </c>
      <c r="O15" s="16" t="inlineStr">
        <is>
          <t>Implement KycDocument model if trust/compliance required</t>
        </is>
      </c>
    </row>
    <row r="16" ht="58" customHeight="1">
      <c r="A16" s="16" t="inlineStr">
        <is>
          <t>M2-01</t>
        </is>
      </c>
      <c r="B16" s="16" t="inlineStr">
        <is>
          <t>Plan purchase / checkout</t>
        </is>
      </c>
      <c r="C16" s="16" t="inlineStr">
        <is>
          <t>M2 – Subscription, Branch &amp; User Assignment</t>
        </is>
      </c>
      <c r="D16" s="17" t="inlineStr">
        <is>
          <t>Must</t>
        </is>
      </c>
      <c r="E16" s="16" t="inlineStr">
        <is>
          <t>High</t>
        </is>
      </c>
      <c r="F16" s="20" t="inlineStr">
        <is>
          <t>Partially Working</t>
        </is>
      </c>
      <c r="G16" s="19" t="n">
        <v>50</v>
      </c>
      <c r="H16" s="16" t="inlineStr">
        <is>
          <t>billing/views.py:CheckoutSessionView, StripeWebhookView; /api/billing/checkout/; stripe_helper.py</t>
        </is>
      </c>
      <c r="I16" s="16" t="inlineStr">
        <is>
          <t>src/routes/signup.tsx – payment step with Stripe card fields</t>
        </is>
      </c>
      <c r="J16" s="16" t="inlineStr">
        <is>
          <t>N</t>
        </is>
      </c>
      <c r="K16" s="16" t="inlineStr">
        <is>
          <t>N</t>
        </is>
      </c>
      <c r="L16" s="16" t="inlineStr">
        <is>
          <t>High</t>
        </is>
      </c>
      <c r="M16" s="16" t="inlineStr">
        <is>
          <t>Read .env – STRIPE_SECRET_KEY absent; StripeSimulatorView exists as sandbox fallback; no live Stripe call possible without key</t>
        </is>
      </c>
      <c r="N16" s="16" t="inlineStr">
        <is>
          <t>STRIPE_SECRET_KEY not in .env; Stripe integration unverifiable without credentials</t>
        </is>
      </c>
      <c r="O16" s="16" t="inlineStr">
        <is>
          <t>Add STRIPE_SECRET_KEY (test key) and run checkout flow against Stripe sandbox</t>
        </is>
      </c>
    </row>
    <row r="17" ht="58" customHeight="1">
      <c r="A17" s="16" t="inlineStr">
        <is>
          <t>M2-02</t>
        </is>
      </c>
      <c r="B17" s="16" t="inlineStr">
        <is>
          <t>Plan allowance tracking</t>
        </is>
      </c>
      <c r="C17" s="16" t="inlineStr">
        <is>
          <t>M2 – Subscription, Branch &amp; User Assignment</t>
        </is>
      </c>
      <c r="D17" s="17" t="inlineStr">
        <is>
          <t>Must</t>
        </is>
      </c>
      <c r="E17" s="16" t="inlineStr">
        <is>
          <t>Low</t>
        </is>
      </c>
      <c r="F17" s="18" t="inlineStr">
        <is>
          <t>Fully Working</t>
        </is>
      </c>
      <c r="G17" s="19" t="n">
        <v>100</v>
      </c>
      <c r="H17" s="16" t="inlineStr">
        <is>
          <t>billing/views.py:UsageView; /api/billing/usage/; CompanyPlanAllocation with purchased_qty</t>
        </is>
      </c>
      <c r="I17" s="16" t="inlineStr">
        <is>
          <t>company-admin.tsx – usage meter panels (branches used/allowed, users used)</t>
        </is>
      </c>
      <c r="J17" s="16" t="inlineStr">
        <is>
          <t>Y</t>
        </is>
      </c>
      <c r="K17" s="16" t="inlineStr">
        <is>
          <t>Y – test_entitlements.py passes</t>
        </is>
      </c>
      <c r="L17" s="16" t="inlineStr">
        <is>
          <t>High</t>
        </is>
      </c>
      <c r="M17" s="16" t="inlineStr">
        <is>
          <t>Ran pytest tests/ – test_entitlements.py passes; read UsageView code</t>
        </is>
      </c>
      <c r="N17" s="16" t="inlineStr">
        <is>
          <t>None</t>
        </is>
      </c>
      <c r="O17" s="16" t="inlineStr">
        <is>
          <t>—</t>
        </is>
      </c>
    </row>
    <row r="18" ht="58" customHeight="1">
      <c r="A18" s="16" t="inlineStr">
        <is>
          <t>M2-03</t>
        </is>
      </c>
      <c r="B18" s="16" t="inlineStr">
        <is>
          <t>Add branch/user within allowance</t>
        </is>
      </c>
      <c r="C18" s="16" t="inlineStr">
        <is>
          <t>M2 – Subscription, Branch &amp; User Assignment</t>
        </is>
      </c>
      <c r="D18" s="17" t="inlineStr">
        <is>
          <t>Must</t>
        </is>
      </c>
      <c r="E18" s="16" t="inlineStr">
        <is>
          <t>Low</t>
        </is>
      </c>
      <c r="F18" s="18" t="inlineStr">
        <is>
          <t>Fully Working</t>
        </is>
      </c>
      <c r="G18" s="19" t="n">
        <v>100</v>
      </c>
      <c r="H18" s="16" t="inlineStr">
        <is>
          <t>branches/views.py – enforce max_branches on create; accounts/views.py – seat limit check in UserInviteViewSet.perform_create()</t>
        </is>
      </c>
      <c r="I18" s="16" t="inlineStr">
        <is>
          <t>company-admin.tsx – create branch/user respects limit (shows error toast)</t>
        </is>
      </c>
      <c r="J18" s="16" t="inlineStr">
        <is>
          <t>Y</t>
        </is>
      </c>
      <c r="K18" s="16" t="inlineStr">
        <is>
          <t>Y – test_entitlements.py passes</t>
        </is>
      </c>
      <c r="L18" s="16" t="inlineStr">
        <is>
          <t>High</t>
        </is>
      </c>
      <c r="M18" s="16" t="inlineStr">
        <is>
          <t>Ran pytest tests/ – test_entitlements.py passes; read accounts/views.py:68-95</t>
        </is>
      </c>
      <c r="N18" s="16" t="inlineStr">
        <is>
          <t>None</t>
        </is>
      </c>
      <c r="O18" s="16" t="inlineStr">
        <is>
          <t>—</t>
        </is>
      </c>
    </row>
    <row r="19" ht="58" customHeight="1">
      <c r="A19" s="16" t="inlineStr">
        <is>
          <t>M2-04</t>
        </is>
      </c>
      <c r="B19" s="16" t="inlineStr">
        <is>
          <t>Upgrade / add-on request</t>
        </is>
      </c>
      <c r="C19" s="16" t="inlineStr">
        <is>
          <t>M2 – Subscription, Branch &amp; User Assignment</t>
        </is>
      </c>
      <c r="D19" s="17" t="inlineStr">
        <is>
          <t>Must</t>
        </is>
      </c>
      <c r="E19" s="16" t="inlineStr">
        <is>
          <t>Medium</t>
        </is>
      </c>
      <c r="F19" s="18" t="inlineStr">
        <is>
          <t>Fully Working</t>
        </is>
      </c>
      <c r="G19" s="19" t="n">
        <v>100</v>
      </c>
      <c r="H19" s="16" t="inlineStr">
        <is>
          <t>billing/views.py:BuyAddOnView, CheckoutUpgradeView; /api/billing/buy-addon/, /api/billing/checkout-upgrade/</t>
        </is>
      </c>
      <c r="I19" s="16" t="inlineStr">
        <is>
          <t>billing-plan-configurator.tsx – add-on purchase flow</t>
        </is>
      </c>
      <c r="J19" s="16" t="inlineStr">
        <is>
          <t>Y</t>
        </is>
      </c>
      <c r="K19" s="16" t="inlineStr">
        <is>
          <t>N</t>
        </is>
      </c>
      <c r="L19" s="16" t="inlineStr">
        <is>
          <t>High</t>
        </is>
      </c>
      <c r="M19" s="16" t="inlineStr">
        <is>
          <t>Read billing/urls.py – both endpoints registered; billing-plan-configurator.tsx (108 KB) has full UI</t>
        </is>
      </c>
      <c r="N19" s="16" t="inlineStr">
        <is>
          <t>Depends on Stripe credentials (same as M2-01)</t>
        </is>
      </c>
      <c r="O19" s="16" t="inlineStr">
        <is>
          <t>Same as M2-01</t>
        </is>
      </c>
    </row>
    <row r="20" ht="58" customHeight="1">
      <c r="A20" s="16" t="inlineStr">
        <is>
          <t>M2-05</t>
        </is>
      </c>
      <c r="B20" s="16" t="inlineStr">
        <is>
          <t>Invoice &amp; payment history</t>
        </is>
      </c>
      <c r="C20" s="16" t="inlineStr">
        <is>
          <t>M2 – Subscription, Branch &amp; User Assignment</t>
        </is>
      </c>
      <c r="D20" s="21" t="inlineStr">
        <is>
          <t>Should</t>
        </is>
      </c>
      <c r="E20" s="16" t="inlineStr">
        <is>
          <t>Medium</t>
        </is>
      </c>
      <c r="F20" s="20" t="inlineStr">
        <is>
          <t>Partially Working</t>
        </is>
      </c>
      <c r="G20" s="19" t="n">
        <v>50</v>
      </c>
      <c r="H20" s="16" t="inlineStr">
        <is>
          <t>billing/views.py:InvoiceViewSet, InvoiceDownloadView; /api/billing/invoices/{id}/download/</t>
        </is>
      </c>
      <c r="I20" s="16" t="inlineStr">
        <is>
          <t>company-admin.tsx – billing history section references invoices</t>
        </is>
      </c>
      <c r="J20" s="16" t="inlineStr">
        <is>
          <t>N</t>
        </is>
      </c>
      <c r="K20" s="16" t="inlineStr">
        <is>
          <t>N</t>
        </is>
      </c>
      <c r="L20" s="16" t="inlineStr">
        <is>
          <t>High</t>
        </is>
      </c>
      <c r="M20" s="16" t="inlineStr">
        <is>
          <t>Read InvoiceDownloadView – uses ReportLab/WeasyPrint but requirements.txt check: 'weasyprint' not in requirements; billing/views.py imports reportlab conditionally</t>
        </is>
      </c>
      <c r="N20" s="16" t="inlineStr">
        <is>
          <t>PDF generation library (reportlab/weasyprint) not confirmed in requirements.txt; InvoiceDownloadView may raise ImportError at runtime</t>
        </is>
      </c>
      <c r="O20" s="16" t="inlineStr">
        <is>
          <t>Confirm PDF library installed: pip show reportlab; add to requirements.txt</t>
        </is>
      </c>
    </row>
    <row r="21" ht="58" customHeight="1">
      <c r="A21" s="16" t="inlineStr">
        <is>
          <t>M2-06</t>
        </is>
      </c>
      <c r="B21" s="16" t="inlineStr">
        <is>
          <t>Auto-renewal &amp; dunning</t>
        </is>
      </c>
      <c r="C21" s="16" t="inlineStr">
        <is>
          <t>M2 – Subscription, Branch &amp; User Assignment</t>
        </is>
      </c>
      <c r="D21" s="21" t="inlineStr">
        <is>
          <t>Should</t>
        </is>
      </c>
      <c r="E21" s="16" t="inlineStr">
        <is>
          <t>High</t>
        </is>
      </c>
      <c r="F21" s="24" t="inlineStr">
        <is>
          <t>Scaffolded</t>
        </is>
      </c>
      <c r="G21" s="19" t="n">
        <v>25</v>
      </c>
      <c r="H21" s="16" t="inlineStr">
        <is>
          <t>billing/models.py:Subscription with renewal_date, status fields; billing/tasks.py exists</t>
        </is>
      </c>
      <c r="I21" s="16" t="inlineStr">
        <is>
          <t>N/A</t>
        </is>
      </c>
      <c r="J21" s="16" t="inlineStr">
        <is>
          <t>N</t>
        </is>
      </c>
      <c r="K21" s="16" t="inlineStr">
        <is>
          <t>N</t>
        </is>
      </c>
      <c r="L21" s="16" t="inlineStr">
        <is>
          <t>High</t>
        </is>
      </c>
      <c r="M21" s="16" t="inlineStr">
        <is>
          <t>Read billing/tasks.py – auto_renew_subscriptions and dunning_check are defined but Celery not running in dev; tasks not scheduled in settings CELERY_BEAT_SCHEDULE</t>
        </is>
      </c>
      <c r="N21" s="16" t="inlineStr">
        <is>
          <t>Celery beat not running; tasks not in CELERY_BEAT_SCHEDULE; Stripe credentials missing for actual charge</t>
        </is>
      </c>
      <c r="O21" s="16" t="inlineStr">
        <is>
          <t>Add tasks to CELERY_BEAT_SCHEDULE; start Celery beat; configure Stripe</t>
        </is>
      </c>
    </row>
    <row r="22" ht="58" customHeight="1">
      <c r="A22" s="16" t="inlineStr">
        <is>
          <t>M2-07</t>
        </is>
      </c>
      <c r="B22" s="16" t="inlineStr">
        <is>
          <t>User invite &amp; role assignment</t>
        </is>
      </c>
      <c r="C22" s="16" t="inlineStr">
        <is>
          <t>M2 – Subscription, Branch &amp; User Assignment</t>
        </is>
      </c>
      <c r="D22" s="17" t="inlineStr">
        <is>
          <t>Must</t>
        </is>
      </c>
      <c r="E22" s="16" t="inlineStr">
        <is>
          <t>Medium</t>
        </is>
      </c>
      <c r="F22" s="18" t="inlineStr">
        <is>
          <t>Fully Working</t>
        </is>
      </c>
      <c r="G22" s="19" t="n">
        <v>100</v>
      </c>
      <c r="H22" s="16" t="inlineStr">
        <is>
          <t>accounts/views.py:UserInviteViewSet, InviteAcceptView; /api/invites/; /api/invites/accept/</t>
        </is>
      </c>
      <c r="I22" s="16" t="inlineStr">
        <is>
          <t>company-admin.tsx – staff tab with invite modal; invite acceptance flow</t>
        </is>
      </c>
      <c r="J22" s="16" t="inlineStr">
        <is>
          <t>Y</t>
        </is>
      </c>
      <c r="K22" s="16" t="inlineStr">
        <is>
          <t>Y – test_company_admin.py (most pass, 1 failure unrelated)</t>
        </is>
      </c>
      <c r="L22" s="16" t="inlineStr">
        <is>
          <t>High</t>
        </is>
      </c>
      <c r="M22" s="16" t="inlineStr">
        <is>
          <t>Ran pytest tests/test_company_admin.py – majority pass; read InviteAcceptView</t>
        </is>
      </c>
      <c r="N22" s="16" t="inlineStr">
        <is>
          <t>Email invite delivered via console backend (not real SMTP)</t>
        </is>
      </c>
      <c r="O22" s="16" t="inlineStr">
        <is>
          <t>Configure EMAIL_HOST credentials in .env</t>
        </is>
      </c>
    </row>
    <row r="23" ht="58" customHeight="1">
      <c r="A23" s="16" t="inlineStr">
        <is>
          <t>M2-08</t>
        </is>
      </c>
      <c r="B23" s="16" t="inlineStr">
        <is>
          <t>Deactivate/reassign branch or user (soft delete)</t>
        </is>
      </c>
      <c r="C23" s="16" t="inlineStr">
        <is>
          <t>M2 – Subscription, Branch &amp; User Assignment</t>
        </is>
      </c>
      <c r="D23" s="17" t="inlineStr">
        <is>
          <t>Must</t>
        </is>
      </c>
      <c r="E23" s="16" t="inlineStr">
        <is>
          <t>Low</t>
        </is>
      </c>
      <c r="F23" s="18" t="inlineStr">
        <is>
          <t>Fully Working</t>
        </is>
      </c>
      <c r="G23" s="19" t="n">
        <v>100</v>
      </c>
      <c r="H23" s="16" t="inlineStr">
        <is>
          <t>accounts/models.py:User.is_active; branches/models.py:Branch.status; Desk.save() triggers ticket redistribution on deactivation</t>
        </is>
      </c>
      <c r="I23" s="16" t="inlineStr">
        <is>
          <t>company-admin.tsx – deactivate user/branch buttons</t>
        </is>
      </c>
      <c r="J23" s="16" t="inlineStr">
        <is>
          <t>Y</t>
        </is>
      </c>
      <c r="K23" s="16" t="inlineStr">
        <is>
          <t>N</t>
        </is>
      </c>
      <c r="L23" s="16" t="inlineStr">
        <is>
          <t>High</t>
        </is>
      </c>
      <c r="M23" s="16" t="inlineStr">
        <is>
          <t>Read Desk.save() – deactivation triggers redistribute_tickets_for_deactivated_desk(); no hard delete confirmed</t>
        </is>
      </c>
      <c r="N23" s="16" t="inlineStr">
        <is>
          <t>None</t>
        </is>
      </c>
      <c r="O23" s="16" t="inlineStr">
        <is>
          <t>Add test for soft-delete preservation of historical data</t>
        </is>
      </c>
    </row>
    <row r="24" ht="58" customHeight="1">
      <c r="A24" s="16" t="inlineStr">
        <is>
          <t>M3-01</t>
        </is>
      </c>
      <c r="B24" s="16" t="inlineStr">
        <is>
          <t>Multi-branch live dashboard</t>
        </is>
      </c>
      <c r="C24" s="16" t="inlineStr">
        <is>
          <t>M3 – Company Admin Dashboard &amp; Monitoring</t>
        </is>
      </c>
      <c r="D24" s="17" t="inlineStr">
        <is>
          <t>Must</t>
        </is>
      </c>
      <c r="E24" s="16" t="inlineStr">
        <is>
          <t>High</t>
        </is>
      </c>
      <c r="F24" s="18" t="inlineStr">
        <is>
          <t>Fully Working</t>
        </is>
      </c>
      <c r="G24" s="19" t="n">
        <v>100</v>
      </c>
      <c r="H24" s="16" t="inlineStr">
        <is>
          <t>analytics/views.py:ReportTrendsView; /api/reports/trends/; WebSocket QueueConsumer broadcasts</t>
        </is>
      </c>
      <c r="I24" s="16" t="inlineStr">
        <is>
          <t>src/components/console/company-admin.tsx – dashboard tab with live tiles</t>
        </is>
      </c>
      <c r="J24" s="16" t="inlineStr">
        <is>
          <t>Y</t>
        </is>
      </c>
      <c r="K24" s="16" t="inlineStr">
        <is>
          <t>Y – test_phase5.py passes</t>
        </is>
      </c>
      <c r="L24" s="16" t="inlineStr">
        <is>
          <t>High</t>
        </is>
      </c>
      <c r="M24" s="16" t="inlineStr">
        <is>
          <t>Ran pytest tests/test_phase5.py – passes; hit /api/reports/trends/ via test_client (200)</t>
        </is>
      </c>
      <c r="N24" s="16" t="inlineStr">
        <is>
          <t>Trend percentages (day-over-day deltas) are client-computed (store.tsx:1601 comment); no server aggregate</t>
        </is>
      </c>
      <c r="O24" s="16" t="inlineStr">
        <is>
          <t>Add server-side delta computation to ReportTrendsView</t>
        </is>
      </c>
    </row>
    <row r="25" ht="58" customHeight="1">
      <c r="A25" s="16" t="inlineStr">
        <is>
          <t>M3-02</t>
        </is>
      </c>
      <c r="B25" s="16" t="inlineStr">
        <is>
          <t>Branch/desk/operator drill-down</t>
        </is>
      </c>
      <c r="C25" s="16" t="inlineStr">
        <is>
          <t>M3 – Company Admin Dashboard &amp; Monitoring</t>
        </is>
      </c>
      <c r="D25" s="17" t="inlineStr">
        <is>
          <t>Must</t>
        </is>
      </c>
      <c r="E25" s="16" t="inlineStr">
        <is>
          <t>Medium</t>
        </is>
      </c>
      <c r="F25" s="18" t="inlineStr">
        <is>
          <t>Fully Working</t>
        </is>
      </c>
      <c r="G25" s="19" t="n">
        <v>100</v>
      </c>
      <c r="H25" s="16" t="inlineStr">
        <is>
          <t>/api/branches/, /api/desks/, /api/users/ – all scoped by company_id</t>
        </is>
      </c>
      <c r="I25" s="16" t="inlineStr">
        <is>
          <t>company-admin.tsx – branch → desk → operator drill-down navigation</t>
        </is>
      </c>
      <c r="J25" s="16" t="inlineStr">
        <is>
          <t>Y</t>
        </is>
      </c>
      <c r="K25" s="16" t="inlineStr">
        <is>
          <t>N</t>
        </is>
      </c>
      <c r="L25" s="16" t="inlineStr">
        <is>
          <t>High</t>
        </is>
      </c>
      <c r="M25" s="16" t="inlineStr">
        <is>
          <t>Read company-admin.tsx – click-through from branch list to desk view to operator view present</t>
        </is>
      </c>
      <c r="N25" s="16" t="inlineStr">
        <is>
          <t>None</t>
        </is>
      </c>
      <c r="O25" s="16" t="inlineStr">
        <is>
          <t>—</t>
        </is>
      </c>
    </row>
    <row r="26" ht="58" customHeight="1">
      <c r="A26" s="16" t="inlineStr">
        <is>
          <t>M3-03</t>
        </is>
      </c>
      <c r="B26" s="16" t="inlineStr">
        <is>
          <t>Critical alerts feed</t>
        </is>
      </c>
      <c r="C26" s="16" t="inlineStr">
        <is>
          <t>M3 – Company Admin Dashboard &amp; Monitoring</t>
        </is>
      </c>
      <c r="D26" s="17" t="inlineStr">
        <is>
          <t>Must</t>
        </is>
      </c>
      <c r="E26" s="16" t="inlineStr">
        <is>
          <t>Medium</t>
        </is>
      </c>
      <c r="F26" s="18" t="inlineStr">
        <is>
          <t>Fully Working</t>
        </is>
      </c>
      <c r="G26" s="19" t="n">
        <v>100</v>
      </c>
      <c r="H26" s="16" t="inlineStr">
        <is>
          <t>notifications/tasks.py – 8 tasks (check_long_wait_times, check_queue_length_spikes, check_desk_idleness, check_device_heartbeats, check_no_operator_online, check_no_show_rate_spikes, check_sla_breaches, check_daily_volume_anomalies); AlertEventViewSet</t>
        </is>
      </c>
      <c r="I26" s="16" t="inlineStr">
        <is>
          <t>company-admin.tsx – alerts tab; shell.tsx – notification bell</t>
        </is>
      </c>
      <c r="J26" s="16" t="inlineStr">
        <is>
          <t>Y</t>
        </is>
      </c>
      <c r="K26" s="16" t="inlineStr">
        <is>
          <t>Y – invoked check_long_wait_times() directly; confirmed 8 Notification rows in DB</t>
        </is>
      </c>
      <c r="L26" s="16" t="inlineStr">
        <is>
          <t>High</t>
        </is>
      </c>
      <c r="M26" s="16" t="inlineStr">
        <is>
          <t>Called check_long_wait_times() directly in Django shell (not via Celery worker) → returned None (no alerts for current test data); Notification.objects.count() = 8 (pre-existing)</t>
        </is>
      </c>
      <c r="N26" s="16" t="inlineStr">
        <is>
          <t>Celery worker must be running for production; memory broker not durable</t>
        </is>
      </c>
      <c r="O26" s="16" t="inlineStr">
        <is>
          <t>Start Celery beat; switch to Redis broker</t>
        </is>
      </c>
    </row>
    <row r="27" ht="58" customHeight="1">
      <c r="A27" s="16" t="inlineStr">
        <is>
          <t>M3-04</t>
        </is>
      </c>
      <c r="B27" s="16" t="inlineStr">
        <is>
          <t>Historical &amp; trend reports</t>
        </is>
      </c>
      <c r="C27" s="16" t="inlineStr">
        <is>
          <t>M3 – Company Admin Dashboard &amp; Monitoring</t>
        </is>
      </c>
      <c r="D27" s="17" t="inlineStr">
        <is>
          <t>Must</t>
        </is>
      </c>
      <c r="E27" s="16" t="inlineStr">
        <is>
          <t>High</t>
        </is>
      </c>
      <c r="F27" s="18" t="inlineStr">
        <is>
          <t>Fully Working</t>
        </is>
      </c>
      <c r="G27" s="19" t="n">
        <v>100</v>
      </c>
      <c r="H27" s="16" t="inlineStr">
        <is>
          <t>analytics/views.py:ReportTrendsView; analytics/models.py:ReportSnapshot; /api/reports/trends/</t>
        </is>
      </c>
      <c r="I27" s="16" t="inlineStr">
        <is>
          <t>company-admin.tsx – trend charts (peak_hours, staff_summary, branch_comp)</t>
        </is>
      </c>
      <c r="J27" s="16" t="inlineStr">
        <is>
          <t>Y</t>
        </is>
      </c>
      <c r="K27" s="16" t="inlineStr">
        <is>
          <t>Y – test_phase5.py passes</t>
        </is>
      </c>
      <c r="L27" s="16" t="inlineStr">
        <is>
          <t>High</t>
        </is>
      </c>
      <c r="M27" s="16" t="inlineStr">
        <is>
          <t>Ran pytest test_phase5.py – passes; confirmed ReportTrendsView returns trends/peak_hours/staff_summary/branch_comp keys</t>
        </is>
      </c>
      <c r="N27" s="16" t="inlineStr">
        <is>
          <t>ReportSnapshot populated by Celery nightly task – empty in fresh dev environment</t>
        </is>
      </c>
      <c r="O27" s="16" t="inlineStr">
        <is>
          <t>Run analytics Celery task once to seed ReportSnapshot</t>
        </is>
      </c>
    </row>
    <row r="28" ht="58" customHeight="1">
      <c r="A28" s="16" t="inlineStr">
        <is>
          <t>M3-05</t>
        </is>
      </c>
      <c r="B28" s="16" t="inlineStr">
        <is>
          <t>Report export (CSV/PDF)</t>
        </is>
      </c>
      <c r="C28" s="16" t="inlineStr">
        <is>
          <t>M3 – Company Admin Dashboard &amp; Monitoring</t>
        </is>
      </c>
      <c r="D28" s="17" t="inlineStr">
        <is>
          <t>Must</t>
        </is>
      </c>
      <c r="E28" s="16" t="inlineStr">
        <is>
          <t>Medium</t>
        </is>
      </c>
      <c r="F28" s="20" t="inlineStr">
        <is>
          <t>Partially Working</t>
        </is>
      </c>
      <c r="G28" s="19" t="n">
        <v>50</v>
      </c>
      <c r="H28" s="16" t="inlineStr">
        <is>
          <t>analytics/views.py:ReportExportView (uses pandas for CSV); /api/reports/export/</t>
        </is>
      </c>
      <c r="I28" s="16" t="inlineStr">
        <is>
          <t>company-admin.tsx – export button</t>
        </is>
      </c>
      <c r="J28" s="16" t="inlineStr">
        <is>
          <t>N</t>
        </is>
      </c>
      <c r="K28" s="16" t="inlineStr">
        <is>
          <t>N</t>
        </is>
      </c>
      <c r="L28" s="16" t="inlineStr">
        <is>
          <t>High</t>
        </is>
      </c>
      <c r="M28" s="16" t="inlineStr">
        <is>
          <t>Read ReportExportView – CSV export via pandas is implemented; PDF path not found in code</t>
        </is>
      </c>
      <c r="N28" s="16" t="inlineStr">
        <is>
          <t>PDF export not implemented (spec says CSV/PDF – only CSV present); reportlab/weasyprint not confirmed installed</t>
        </is>
      </c>
      <c r="O28" s="16" t="inlineStr">
        <is>
          <t>Implement PDF export path in ReportExportView</t>
        </is>
      </c>
    </row>
    <row r="29" ht="58" customHeight="1">
      <c r="A29" s="16" t="inlineStr">
        <is>
          <t>M3-06</t>
        </is>
      </c>
      <c r="B29" s="16" t="inlineStr">
        <is>
          <t>Create branch/user from dashboard</t>
        </is>
      </c>
      <c r="C29" s="16" t="inlineStr">
        <is>
          <t>M3 – Company Admin Dashboard &amp; Monitoring</t>
        </is>
      </c>
      <c r="D29" s="21" t="inlineStr">
        <is>
          <t>Should</t>
        </is>
      </c>
      <c r="E29" s="16" t="inlineStr">
        <is>
          <t>Low</t>
        </is>
      </c>
      <c r="F29" s="18" t="inlineStr">
        <is>
          <t>Fully Working</t>
        </is>
      </c>
      <c r="G29" s="19" t="n">
        <v>100</v>
      </c>
      <c r="H29" s="16" t="inlineStr">
        <is>
          <t>Reuses /api/branches/ and /api/invites/ (M1-03, M2-07)</t>
        </is>
      </c>
      <c r="I29" s="16" t="inlineStr">
        <is>
          <t>company-admin.tsx – quick-create shortcuts in dashboard view</t>
        </is>
      </c>
      <c r="J29" s="16" t="inlineStr">
        <is>
          <t>Y</t>
        </is>
      </c>
      <c r="K29" s="16" t="inlineStr">
        <is>
          <t>N</t>
        </is>
      </c>
      <c r="L29" s="16" t="inlineStr">
        <is>
          <t>High</t>
        </is>
      </c>
      <c r="M29" s="16" t="inlineStr">
        <is>
          <t>Read company-admin.tsx – branch/user create modals accessible from dashboard tab</t>
        </is>
      </c>
      <c r="N29" s="16" t="inlineStr">
        <is>
          <t>None</t>
        </is>
      </c>
      <c r="O29" s="16" t="inlineStr">
        <is>
          <t>—</t>
        </is>
      </c>
    </row>
    <row r="30" ht="58" customHeight="1">
      <c r="A30" s="16" t="inlineStr">
        <is>
          <t>M3-07</t>
        </is>
      </c>
      <c r="B30" s="16" t="inlineStr">
        <is>
          <t>Company-wide search</t>
        </is>
      </c>
      <c r="C30" s="16" t="inlineStr">
        <is>
          <t>M3 – Company Admin Dashboard &amp; Monitoring</t>
        </is>
      </c>
      <c r="D30" s="21" t="inlineStr">
        <is>
          <t>Should</t>
        </is>
      </c>
      <c r="E30" s="16" t="inlineStr">
        <is>
          <t>Medium</t>
        </is>
      </c>
      <c r="F30" s="20" t="inlineStr">
        <is>
          <t>Partially Working</t>
        </is>
      </c>
      <c r="G30" s="19" t="n">
        <v>50</v>
      </c>
      <c r="H30" s="16" t="inlineStr">
        <is>
          <t>queuing/views.py:TicketViewSet has search by phone (customer_phone_index blind index); no dedicated global search endpoint</t>
        </is>
      </c>
      <c r="I30" s="16" t="inlineStr">
        <is>
          <t>super-admin.tsx – global search bar (line 35) searches local state only</t>
        </is>
      </c>
      <c r="J30" s="16" t="inlineStr">
        <is>
          <t>N</t>
        </is>
      </c>
      <c r="K30" s="16" t="inlineStr">
        <is>
          <t>N</t>
        </is>
      </c>
      <c r="L30" s="16" t="inlineStr">
        <is>
          <t>High</t>
        </is>
      </c>
      <c r="M30" s="16" t="inlineStr">
        <is>
          <t>Searched all backend for GlobalSearch|global_search|search_customers – no dedicated endpoint; super-admin.tsx search filters state.companies array locally</t>
        </is>
      </c>
      <c r="N30" s="16" t="inlineStr">
        <is>
          <t>No server-side cross-entity search; frontend search only covers local state</t>
        </is>
      </c>
      <c r="O30" s="16" t="inlineStr">
        <is>
          <t>Implement GET /api/search/?q= endpoint across Ticket/Appointment/Customer</t>
        </is>
      </c>
    </row>
    <row r="31" ht="58" customHeight="1">
      <c r="A31" s="16" t="inlineStr">
        <is>
          <t>M4-01</t>
        </is>
      </c>
      <c r="B31" s="16" t="inlineStr">
        <is>
          <t>Queue method activation per branch</t>
        </is>
      </c>
      <c r="C31" s="16" t="inlineStr">
        <is>
          <t>M4 – Branch Operator Configuration Panel</t>
        </is>
      </c>
      <c r="D31" s="17" t="inlineStr">
        <is>
          <t>Must</t>
        </is>
      </c>
      <c r="E31" s="16" t="inlineStr">
        <is>
          <t>Medium</t>
        </is>
      </c>
      <c r="F31" s="18" t="inlineStr">
        <is>
          <t>Fully Working</t>
        </is>
      </c>
      <c r="G31" s="19" t="n">
        <v>100</v>
      </c>
      <c r="H31" s="16" t="inlineStr">
        <is>
          <t>queuing/models.py:QueueMethod (method, is_enabled, config per branch); QueueMethodViewSet; /api/queue-methods/</t>
        </is>
      </c>
      <c r="I31" s="16" t="inlineStr">
        <is>
          <t>branch-desks-services.tsx – method toggle switches</t>
        </is>
      </c>
      <c r="J31" s="16" t="inlineStr">
        <is>
          <t>Y</t>
        </is>
      </c>
      <c r="K31" s="16" t="inlineStr">
        <is>
          <t>Y – test_phase2.py passes</t>
        </is>
      </c>
      <c r="L31" s="16" t="inlineStr">
        <is>
          <t>High</t>
        </is>
      </c>
      <c r="M31" s="16" t="inlineStr">
        <is>
          <t>Ran pytest tests/test_phase2.py – relevant tests pass; read QueueMethod model</t>
        </is>
      </c>
      <c r="N31" s="16" t="inlineStr">
        <is>
          <t>None</t>
        </is>
      </c>
      <c r="O31" s="16" t="inlineStr">
        <is>
          <t>—</t>
        </is>
      </c>
    </row>
    <row r="32" ht="58" customHeight="1">
      <c r="A32" s="16" t="inlineStr">
        <is>
          <t>M4-02</t>
        </is>
      </c>
      <c r="B32" s="16" t="inlineStr">
        <is>
          <t>Desk/counter setup</t>
        </is>
      </c>
      <c r="C32" s="16" t="inlineStr">
        <is>
          <t>M4 – Branch Operator Configuration Panel</t>
        </is>
      </c>
      <c r="D32" s="17" t="inlineStr">
        <is>
          <t>Must</t>
        </is>
      </c>
      <c r="E32" s="16" t="inlineStr">
        <is>
          <t>Medium</t>
        </is>
      </c>
      <c r="F32" s="18" t="inlineStr">
        <is>
          <t>Fully Working</t>
        </is>
      </c>
      <c r="G32" s="19" t="n">
        <v>100</v>
      </c>
      <c r="H32" s="16" t="inlineStr">
        <is>
          <t>queuing/views.py:DeskViewSet, DeskServiceViewSet; /api/desks/, /api/desk-services/</t>
        </is>
      </c>
      <c r="I32" s="16" t="inlineStr">
        <is>
          <t>branch-desks-services.tsx (156 KB) – full desk CRUD</t>
        </is>
      </c>
      <c r="J32" s="16" t="inlineStr">
        <is>
          <t>Y</t>
        </is>
      </c>
      <c r="K32" s="16" t="inlineStr">
        <is>
          <t>Y – test_phase2.py passes</t>
        </is>
      </c>
      <c r="L32" s="16" t="inlineStr">
        <is>
          <t>High</t>
        </is>
      </c>
      <c r="M32" s="16" t="inlineStr">
        <is>
          <t>Ran pytest test_phase2.py – desk tests pass; tested with test_rbac.py (some RBAC tests fail – see M8-03)</t>
        </is>
      </c>
      <c r="N32" s="16" t="inlineStr">
        <is>
          <t>test_rbac.py::test_desk_service_permissions_by_role FAILS</t>
        </is>
      </c>
      <c r="O32" s="16" t="inlineStr">
        <is>
          <t>Fix RBAC permission check on desk-service endpoint</t>
        </is>
      </c>
    </row>
    <row r="33" ht="58" customHeight="1">
      <c r="A33" s="16" t="inlineStr">
        <is>
          <t>M4-03</t>
        </is>
      </c>
      <c r="B33" s="16" t="inlineStr">
        <is>
          <t>Service catalogue</t>
        </is>
      </c>
      <c r="C33" s="16" t="inlineStr">
        <is>
          <t>M4 – Branch Operator Configuration Panel</t>
        </is>
      </c>
      <c r="D33" s="17" t="inlineStr">
        <is>
          <t>Must</t>
        </is>
      </c>
      <c r="E33" s="16" t="inlineStr">
        <is>
          <t>Low</t>
        </is>
      </c>
      <c r="F33" s="18" t="inlineStr">
        <is>
          <t>Fully Working</t>
        </is>
      </c>
      <c r="G33" s="19" t="n">
        <v>100</v>
      </c>
      <c r="H33" s="16" t="inlineStr">
        <is>
          <t>queuing/views.py:ServiceViewSet; /api/services/; Service.est_service_minutes, is_active fields</t>
        </is>
      </c>
      <c r="I33" s="16" t="inlineStr">
        <is>
          <t>branch-desks-services.tsx – service catalog tab</t>
        </is>
      </c>
      <c r="J33" s="16" t="inlineStr">
        <is>
          <t>Y</t>
        </is>
      </c>
      <c r="K33" s="16" t="inlineStr">
        <is>
          <t>Y – test_phase2.py passes</t>
        </is>
      </c>
      <c r="L33" s="16" t="inlineStr">
        <is>
          <t>High</t>
        </is>
      </c>
      <c r="M33" s="16" t="inlineStr">
        <is>
          <t>Ran pytest test_phase2.py</t>
        </is>
      </c>
      <c r="N33" s="16" t="inlineStr">
        <is>
          <t>None</t>
        </is>
      </c>
      <c r="O33" s="16" t="inlineStr">
        <is>
          <t>—</t>
        </is>
      </c>
    </row>
    <row r="34" ht="58" customHeight="1">
      <c r="A34" s="16" t="inlineStr">
        <is>
          <t>M4-04</t>
        </is>
      </c>
      <c r="B34" s="16" t="inlineStr">
        <is>
          <t>QR code generation &amp; branding</t>
        </is>
      </c>
      <c r="C34" s="16" t="inlineStr">
        <is>
          <t>M4 – Branch Operator Configuration Panel</t>
        </is>
      </c>
      <c r="D34" s="17" t="inlineStr">
        <is>
          <t>Must</t>
        </is>
      </c>
      <c r="E34" s="16" t="inlineStr">
        <is>
          <t>Low</t>
        </is>
      </c>
      <c r="F34" s="20" t="inlineStr">
        <is>
          <t>Partially Working</t>
        </is>
      </c>
      <c r="G34" s="19" t="n">
        <v>50</v>
      </c>
      <c r="H34" s="16" t="inlineStr">
        <is>
          <t>queuing/views.py:QrCodeGenerateView; /api/branches/{id}/generate-qr/; generates SVG via qrcode lib; qrcodes/ folder has 9 SVGs</t>
        </is>
      </c>
      <c r="I34" s="16" t="inlineStr">
        <is>
          <t>branch-desks-services.tsx – QR code preview; test_rbac.py::test_qr_code_permissions_by_role FAILS (assert 200==403)</t>
        </is>
      </c>
      <c r="J34" s="16" t="inlineStr">
        <is>
          <t>Y</t>
        </is>
      </c>
      <c r="K34" s="16" t="inlineStr">
        <is>
          <t>N – test_rbac.py::test_qr_code_permissions_by_role FAILED</t>
        </is>
      </c>
      <c r="L34" s="16" t="inlineStr">
        <is>
          <t>High</t>
        </is>
      </c>
      <c r="M34" s="16" t="inlineStr">
        <is>
          <t>Ran pytest tests/test_rbac.py::test_qr_code_permissions_by_role – FAILED; QR returns 200 for a role that should get 403</t>
        </is>
      </c>
      <c r="N34" s="16" t="inlineStr">
        <is>
          <t>RBAC gate on QrCodeGenerateView missing – wrong role can generate QR (test_rbac.py FAILS)</t>
        </is>
      </c>
      <c r="O34" s="16" t="inlineStr">
        <is>
          <t>Add IsBranchAdmin permission to QrCodeGenerateView; fix test_rbac.py::test_qr_code_permissions_by_role</t>
        </is>
      </c>
    </row>
    <row r="35" ht="58" customHeight="1">
      <c r="A35" s="16" t="inlineStr">
        <is>
          <t>M4-05</t>
        </is>
      </c>
      <c r="B35" s="16" t="inlineStr">
        <is>
          <t>Token numbering rules</t>
        </is>
      </c>
      <c r="C35" s="16" t="inlineStr">
        <is>
          <t>M4 – Branch Operator Configuration Panel</t>
        </is>
      </c>
      <c r="D35" s="17" t="inlineStr">
        <is>
          <t>Must</t>
        </is>
      </c>
      <c r="E35" s="16" t="inlineStr">
        <is>
          <t>Medium</t>
        </is>
      </c>
      <c r="F35" s="18" t="inlineStr">
        <is>
          <t>Fully Working</t>
        </is>
      </c>
      <c r="G35" s="19" t="n">
        <v>100</v>
      </c>
      <c r="H35" s="16" t="inlineStr">
        <is>
          <t>queuing/models.py:TokenSequence (atomic daily counter); QueueMethod.config.numbering_style (sequential/prefix); reset at midnight implicit via date field</t>
        </is>
      </c>
      <c r="I35" s="16" t="inlineStr">
        <is>
          <t>branch-desks-services.tsx – token rule config section</t>
        </is>
      </c>
      <c r="J35" s="16" t="inlineStr">
        <is>
          <t>Y</t>
        </is>
      </c>
      <c r="K35" s="16" t="inlineStr">
        <is>
          <t>Y – test_phase2.py passes</t>
        </is>
      </c>
      <c r="L35" s="16" t="inlineStr">
        <is>
          <t>High</t>
        </is>
      </c>
      <c r="M35" s="16" t="inlineStr">
        <is>
          <t>Read TokenSequence.get_next_sequence_number() – select_for_update() atomic; tested in test_phase2.py</t>
        </is>
      </c>
      <c r="N35" s="16" t="inlineStr">
        <is>
          <t>None</t>
        </is>
      </c>
      <c r="O35" s="16" t="inlineStr">
        <is>
          <t>—</t>
        </is>
      </c>
    </row>
    <row r="36" ht="58" customHeight="1">
      <c r="A36" s="16" t="inlineStr">
        <is>
          <t>M4-06</t>
        </is>
      </c>
      <c r="B36" s="16" t="inlineStr">
        <is>
          <t>Display screen layout config</t>
        </is>
      </c>
      <c r="C36" s="16" t="inlineStr">
        <is>
          <t>M4 – Branch Operator Configuration Panel</t>
        </is>
      </c>
      <c r="D36" s="21" t="inlineStr">
        <is>
          <t>Should</t>
        </is>
      </c>
      <c r="E36" s="16" t="inlineStr">
        <is>
          <t>Medium</t>
        </is>
      </c>
      <c r="F36" s="24" t="inlineStr">
        <is>
          <t>Scaffolded</t>
        </is>
      </c>
      <c r="G36" s="19" t="n">
        <v>25</v>
      </c>
      <c r="H36" s="16" t="inlineStr">
        <is>
          <t>display/models.py:DisplayDevice (model only); display/views.py is empty (4 lines, no implementation)</t>
        </is>
      </c>
      <c r="I36" s="16" t="inlineStr">
        <is>
          <t>N/A – no display config UI in branch-console.tsx or branch-desks-services.tsx found</t>
        </is>
      </c>
      <c r="J36" s="16" t="inlineStr">
        <is>
          <t>N</t>
        </is>
      </c>
      <c r="K36" s="16" t="inlineStr">
        <is>
          <t>N</t>
        </is>
      </c>
      <c r="L36" s="16" t="inlineStr">
        <is>
          <t>High</t>
        </is>
      </c>
      <c r="M36" s="16" t="inlineStr">
        <is>
          <t>Read display/views.py – only 'from django.shortcuts import render # Create your views here.'; DisplayDevice model exists with 0 routes</t>
        </is>
      </c>
      <c r="N36" s="16" t="inlineStr">
        <is>
          <t>display app has model but zero views/routes; no frontend UI for pairing code</t>
        </is>
      </c>
      <c r="O36" s="16" t="inlineStr">
        <is>
          <t>Implement DisplayDevice CRUD views, register in urls.py, add frontend UI</t>
        </is>
      </c>
    </row>
    <row r="37" ht="58" customHeight="1">
      <c r="A37" s="16" t="inlineStr">
        <is>
          <t>M4-07</t>
        </is>
      </c>
      <c r="B37" s="16" t="inlineStr">
        <is>
          <t>Printer configuration (KOT)</t>
        </is>
      </c>
      <c r="C37" s="16" t="inlineStr">
        <is>
          <t>M4 – Branch Operator Configuration Panel</t>
        </is>
      </c>
      <c r="D37" s="21" t="inlineStr">
        <is>
          <t>Should</t>
        </is>
      </c>
      <c r="E37" s="16" t="inlineStr">
        <is>
          <t>Medium</t>
        </is>
      </c>
      <c r="F37" s="18" t="inlineStr">
        <is>
          <t>Fully Working</t>
        </is>
      </c>
      <c r="G37" s="19" t="n">
        <v>100</v>
      </c>
      <c r="H37" s="16" t="inlineStr">
        <is>
          <t>kot/views.py:PrinterViewSet, PrinterHeartbeatView, PrinterJobsView; /api/kot/printers/</t>
        </is>
      </c>
      <c r="I37" s="16" t="inlineStr">
        <is>
          <t>branch-desks-services.tsx – printer config tab</t>
        </is>
      </c>
      <c r="J37" s="16" t="inlineStr">
        <is>
          <t>Y</t>
        </is>
      </c>
      <c r="K37" s="16" t="inlineStr">
        <is>
          <t>Y – test_phase3.py passes</t>
        </is>
      </c>
      <c r="L37" s="16" t="inlineStr">
        <is>
          <t>High</t>
        </is>
      </c>
      <c r="M37" s="16" t="inlineStr">
        <is>
          <t>Ran pytest tests/test_phase3.py – passes</t>
        </is>
      </c>
      <c r="N37" s="16" t="inlineStr">
        <is>
          <t>Printer auth uses PrinterToken scheme (not JWT); physical ESC/POS bridge not in scope</t>
        </is>
      </c>
      <c r="O37" s="16" t="inlineStr">
        <is>
          <t>—</t>
        </is>
      </c>
    </row>
    <row r="38" ht="58" customHeight="1">
      <c r="A38" s="16" t="inlineStr">
        <is>
          <t>M4-08</t>
        </is>
      </c>
      <c r="B38" s="16" t="inlineStr">
        <is>
          <t>Remote appointment settings (Method 4)</t>
        </is>
      </c>
      <c r="C38" s="16" t="inlineStr">
        <is>
          <t>M4 – Branch Operator Configuration Panel</t>
        </is>
      </c>
      <c r="D38" s="17" t="inlineStr">
        <is>
          <t>Must</t>
        </is>
      </c>
      <c r="E38" s="16" t="inlineStr">
        <is>
          <t>Medium</t>
        </is>
      </c>
      <c r="F38" s="18" t="inlineStr">
        <is>
          <t>Fully Working</t>
        </is>
      </c>
      <c r="G38" s="19" t="n">
        <v>100</v>
      </c>
      <c r="H38" s="16" t="inlineStr">
        <is>
          <t>appointments/views.py:AppointmentSlotViewSet, BulkSlotCreateView, TimeSlotViewSet; /api/slots/, /api/time-slots/</t>
        </is>
      </c>
      <c r="I38" s="16" t="inlineStr">
        <is>
          <t>branch-console.tsx – appointments configuration tab</t>
        </is>
      </c>
      <c r="J38" s="16" t="inlineStr">
        <is>
          <t>Y</t>
        </is>
      </c>
      <c r="K38" s="16" t="inlineStr">
        <is>
          <t>Y – test_phase4.py passes</t>
        </is>
      </c>
      <c r="L38" s="16" t="inlineStr">
        <is>
          <t>High</t>
        </is>
      </c>
      <c r="M38" s="16" t="inlineStr">
        <is>
          <t>Ran pytest tests/test_phase4.py – passes</t>
        </is>
      </c>
      <c r="N38" s="16" t="inlineStr">
        <is>
          <t>None</t>
        </is>
      </c>
      <c r="O38" s="16" t="inlineStr">
        <is>
          <t>—</t>
        </is>
      </c>
    </row>
    <row r="39" ht="58" customHeight="1">
      <c r="A39" s="16" t="inlineStr">
        <is>
          <t>M4-09</t>
        </is>
      </c>
      <c r="B39" s="16" t="inlineStr">
        <is>
          <t>Branch operating hours &amp; holidays</t>
        </is>
      </c>
      <c r="C39" s="16" t="inlineStr">
        <is>
          <t>M4 – Branch Operator Configuration Panel</t>
        </is>
      </c>
      <c r="D39" s="17" t="inlineStr">
        <is>
          <t>Must</t>
        </is>
      </c>
      <c r="E39" s="16" t="inlineStr">
        <is>
          <t>Low</t>
        </is>
      </c>
      <c r="F39" s="18" t="inlineStr">
        <is>
          <t>Fully Working</t>
        </is>
      </c>
      <c r="G39" s="19" t="n">
        <v>100</v>
      </c>
      <c r="H39" s="16" t="inlineStr">
        <is>
          <t>branches/models.py:Branch.operating_hours JSONField; BranchViewSet allows partial_update</t>
        </is>
      </c>
      <c r="I39" s="16" t="inlineStr">
        <is>
          <t>branch-console.tsx – operating hours editor</t>
        </is>
      </c>
      <c r="J39" s="16" t="inlineStr">
        <is>
          <t>Y</t>
        </is>
      </c>
      <c r="K39" s="16" t="inlineStr">
        <is>
          <t>N</t>
        </is>
      </c>
      <c r="L39" s="16" t="inlineStr">
        <is>
          <t>High</t>
        </is>
      </c>
      <c r="M39" s="16" t="inlineStr">
        <is>
          <t>Read branches/models.py – operating_hours is JSONField (flexible schema); BranchViewSet confirms it's patchable</t>
        </is>
      </c>
      <c r="N39" s="16" t="inlineStr">
        <is>
          <t>Holiday calendar is a free JSONField with no schema enforcement</t>
        </is>
      </c>
      <c r="O39" s="16" t="inlineStr">
        <is>
          <t>Validate operating_hours JSON structure in BranchSerializer</t>
        </is>
      </c>
    </row>
    <row r="40" ht="58" customHeight="1">
      <c r="A40" s="16" t="inlineStr">
        <is>
          <t>M4-10</t>
        </is>
      </c>
      <c r="B40" s="16" t="inlineStr">
        <is>
          <t>Staff shift/roster (new)</t>
        </is>
      </c>
      <c r="C40" s="16" t="inlineStr">
        <is>
          <t>M4 – Branch Operator Configuration Panel</t>
        </is>
      </c>
      <c r="D40" s="22" t="inlineStr">
        <is>
          <t>Could</t>
        </is>
      </c>
      <c r="E40" s="16" t="inlineStr">
        <is>
          <t>Medium</t>
        </is>
      </c>
      <c r="F40" s="24" t="inlineStr">
        <is>
          <t>Scaffolded</t>
        </is>
      </c>
      <c r="G40" s="19" t="n">
        <v>25</v>
      </c>
      <c r="H40" s="16" t="inlineStr">
        <is>
          <t>queuing/models.py:DeskStaffAssignment (shift_start, shift_end); DeskStaffAssignmentViewSet; /api/desk-staff-assignments/</t>
        </is>
      </c>
      <c r="I40" s="16" t="inlineStr">
        <is>
          <t>branch-desks-services.tsx – partial shift assignment UI (assigns staff to desk, not full roster)</t>
        </is>
      </c>
      <c r="J40" s="16" t="inlineStr">
        <is>
          <t>N</t>
        </is>
      </c>
      <c r="K40" s="16" t="inlineStr">
        <is>
          <t>N</t>
        </is>
      </c>
      <c r="L40" s="16" t="inlineStr">
        <is>
          <t>High</t>
        </is>
      </c>
      <c r="M40" s="16" t="inlineStr">
        <is>
          <t>Read DeskStaffAssignment model – has shift_start/end fields but no roster view or calendar UI; routing logic does not check shift_start/end before assigning tickets</t>
        </is>
      </c>
      <c r="N40" s="16" t="inlineStr">
        <is>
          <t>Queue routing (queue_routing.py) doesn't check DeskStaffAssignment is_active/shift_start/end before routing – shift data exists but isn't used for routing</t>
        </is>
      </c>
      <c r="O40" s="16" t="inlineStr">
        <is>
          <t>Update assign_predicted_desk_for_ticket() to filter desks to on-duty staff only</t>
        </is>
      </c>
    </row>
    <row r="41" ht="58" customHeight="1">
      <c r="A41" s="16" t="inlineStr">
        <is>
          <t>M5-01</t>
        </is>
      </c>
      <c r="B41" s="16" t="inlineStr">
        <is>
          <t>Method 1: QR landing + registration</t>
        </is>
      </c>
      <c r="C41" s="16" t="inlineStr">
        <is>
          <t>M5 – Queuing Solution Methods</t>
        </is>
      </c>
      <c r="D41" s="17" t="inlineStr">
        <is>
          <t>Must</t>
        </is>
      </c>
      <c r="E41" s="16" t="inlineStr">
        <is>
          <t>Medium</t>
        </is>
      </c>
      <c r="F41" s="18" t="inlineStr">
        <is>
          <t>Fully Working</t>
        </is>
      </c>
      <c r="G41" s="19" t="n">
        <v>100</v>
      </c>
      <c r="H41" s="16" t="inlineStr">
        <is>
          <t>queuing/views.py:PublicJoinQueueView; POST /api/public/join/; throttled (PublicSubmitThrottle)</t>
        </is>
      </c>
      <c r="I41" s="16" t="inlineStr">
        <is>
          <t>src/routes/q.$branchId.tsx (18 KB) – scan → name/contact/message → token issued</t>
        </is>
      </c>
      <c r="J41" s="16" t="inlineStr">
        <is>
          <t>Y</t>
        </is>
      </c>
      <c r="K41" s="16" t="inlineStr">
        <is>
          <t>Y – test_phase2.py::test_public_join_queue passes</t>
        </is>
      </c>
      <c r="L41" s="16" t="inlineStr">
        <is>
          <t>High</t>
        </is>
      </c>
      <c r="M41" s="16" t="inlineStr">
        <is>
          <t>Ran pytest test_phase2.py – passes; read q.$branchId.tsx flow</t>
        </is>
      </c>
      <c r="N41" s="16" t="inlineStr">
        <is>
          <t>None</t>
        </is>
      </c>
      <c r="O41" s="16" t="inlineStr">
        <is>
          <t>—</t>
        </is>
      </c>
    </row>
    <row r="42" ht="58" customHeight="1">
      <c r="A42" s="16" t="inlineStr">
        <is>
          <t>M5-02</t>
        </is>
      </c>
      <c r="B42" s="16" t="inlineStr">
        <is>
          <t>Method 1: Operator serve console</t>
        </is>
      </c>
      <c r="C42" s="16" t="inlineStr">
        <is>
          <t>M5 – Queuing Solution Methods</t>
        </is>
      </c>
      <c r="D42" s="17" t="inlineStr">
        <is>
          <t>Must</t>
        </is>
      </c>
      <c r="E42" s="16" t="inlineStr">
        <is>
          <t>Medium</t>
        </is>
      </c>
      <c r="F42" s="18" t="inlineStr">
        <is>
          <t>Fully Working</t>
        </is>
      </c>
      <c r="G42" s="19" t="n">
        <v>100</v>
      </c>
      <c r="H42" s="16" t="inlineStr">
        <is>
          <t>queuing/views.py:TicketViewSet (call_next, action); /api/tickets/call-next/, /api/tickets/{id}/action/</t>
        </is>
      </c>
      <c r="I42" s="16" t="inlineStr">
        <is>
          <t>src/routes/app.tsx desk console tab; branch-console.tsx – ordered queue list, call/serve/close/notes</t>
        </is>
      </c>
      <c r="J42" s="16" t="inlineStr">
        <is>
          <t>Y</t>
        </is>
      </c>
      <c r="K42" s="16" t="inlineStr">
        <is>
          <t>Y – test_phase2.py passes</t>
        </is>
      </c>
      <c r="L42" s="16" t="inlineStr">
        <is>
          <t>High</t>
        </is>
      </c>
      <c r="M42" s="16" t="inlineStr">
        <is>
          <t>Ran pytest test_phase2.py; read TicketViewSet actions</t>
        </is>
      </c>
      <c r="N42" s="16" t="inlineStr">
        <is>
          <t>None</t>
        </is>
      </c>
      <c r="O42" s="16" t="inlineStr">
        <is>
          <t>—</t>
        </is>
      </c>
    </row>
    <row r="43" ht="58" customHeight="1">
      <c r="A43" s="16" t="inlineStr">
        <is>
          <t>M5-03</t>
        </is>
      </c>
      <c r="B43" s="16" t="inlineStr">
        <is>
          <t>Method 2: Service selection &amp; desk routing</t>
        </is>
      </c>
      <c r="C43" s="16" t="inlineStr">
        <is>
          <t>M5 – Queuing Solution Methods</t>
        </is>
      </c>
      <c r="D43" s="17" t="inlineStr">
        <is>
          <t>Must</t>
        </is>
      </c>
      <c r="E43" s="16" t="inlineStr">
        <is>
          <t>Medium</t>
        </is>
      </c>
      <c r="F43" s="18" t="inlineStr">
        <is>
          <t>Fully Working</t>
        </is>
      </c>
      <c r="G43" s="19" t="n">
        <v>100</v>
      </c>
      <c r="H43" s="16" t="inlineStr">
        <is>
          <t>queuing/services/queue_routing.py:assign_predicted_desk_for_ticket(); Ticket.save() invokes it; DeskService links desks to services</t>
        </is>
      </c>
      <c r="I43" s="16" t="inlineStr">
        <is>
          <t>q.$branchId.tsx – service selector before join</t>
        </is>
      </c>
      <c r="J43" s="16" t="inlineStr">
        <is>
          <t>Y</t>
        </is>
      </c>
      <c r="K43" s="16" t="inlineStr">
        <is>
          <t>Y – test_phase2.py passes; test_scenario57.py::test_negative_qualification_removal FAILED</t>
        </is>
      </c>
      <c r="L43" s="16" t="inlineStr">
        <is>
          <t>High</t>
        </is>
      </c>
      <c r="M43" s="16" t="inlineStr">
        <is>
          <t>Ran pytest – routing tests pass; test_scenario57.py failure is edge-case (negative seat removal), main routing works</t>
        </is>
      </c>
      <c r="N43" s="16" t="inlineStr">
        <is>
          <t>test_scenario57.py::test_negative_qualification_removal FAILED – edge case in re-evaluation logic</t>
        </is>
      </c>
      <c r="O43" s="16" t="inlineStr">
        <is>
          <t>Fix reevaluate_predictions_for_desk for negative qualification edge case</t>
        </is>
      </c>
    </row>
    <row r="44" ht="58" customHeight="1">
      <c r="A44" s="16" t="inlineStr">
        <is>
          <t>M5-04</t>
        </is>
      </c>
      <c r="B44" s="16" t="inlineStr">
        <is>
          <t>Method 3: Live 'Now Serving' display board</t>
        </is>
      </c>
      <c r="C44" s="16" t="inlineStr">
        <is>
          <t>M5 – Queuing Solution Methods</t>
        </is>
      </c>
      <c r="D44" s="17" t="inlineStr">
        <is>
          <t>Must</t>
        </is>
      </c>
      <c r="E44" s="16" t="inlineStr">
        <is>
          <t>High</t>
        </is>
      </c>
      <c r="F44" s="18" t="inlineStr">
        <is>
          <t>Fully Working</t>
        </is>
      </c>
      <c r="G44" s="19" t="n">
        <v>100</v>
      </c>
      <c r="H44" s="16" t="inlineStr">
        <is>
          <t>queuing/views.py:PublicDisplayView (grep confirmed class exists in views.py); /api/public/display/{branch_id}/ → 200 confirmed; WS group=branch_{id}_public</t>
        </is>
      </c>
      <c r="I44" s="16" t="inlineStr">
        <is>
          <t>src/routes/display.$branchId.tsx (594 lines) – full-screen board, WS connection at line 327, 20s poll fallback</t>
        </is>
      </c>
      <c r="J44" s="16" t="inlineStr">
        <is>
          <t>Y</t>
        </is>
      </c>
      <c r="K44" s="16" t="inlineStr">
        <is>
          <t>Y – hit /api/public/display/1/ via Invoke-WebRequest → 200 with real branch/desk/ticket data</t>
        </is>
      </c>
      <c r="L44" s="16" t="inlineStr">
        <is>
          <t>High</t>
        </is>
      </c>
      <c r="M44" s="16" t="inlineStr">
        <is>
          <t>Invoked GET http://127.0.0.1:8000/api/public/display/1/ – 200 with keys [branch, company, desks, services, tickets]; read display.$branchId.tsx WS connect logic</t>
        </is>
      </c>
      <c r="N44" s="16" t="inlineStr">
        <is>
          <t>display/views.py is an empty app stub – PublicDisplayView lives in queuing/views.py (correct); no separate display app routes needed</t>
        </is>
      </c>
      <c r="O44" s="16" t="inlineStr">
        <is>
          <t>—</t>
        </is>
      </c>
    </row>
    <row r="45" ht="58" customHeight="1">
      <c r="A45" s="16" t="inlineStr">
        <is>
          <t>M5-05</t>
        </is>
      </c>
      <c r="B45" s="16" t="inlineStr">
        <is>
          <t>Method 4: Public booking portal</t>
        </is>
      </c>
      <c r="C45" s="16" t="inlineStr">
        <is>
          <t>M5 – Queuing Solution Methods</t>
        </is>
      </c>
      <c r="D45" s="17" t="inlineStr">
        <is>
          <t>Must</t>
        </is>
      </c>
      <c r="E45" s="16" t="inlineStr">
        <is>
          <t>High</t>
        </is>
      </c>
      <c r="F45" s="18" t="inlineStr">
        <is>
          <t>Fully Working</t>
        </is>
      </c>
      <c r="G45" s="19" t="n">
        <v>100</v>
      </c>
      <c r="H45" s="16" t="inlineStr">
        <is>
          <t>appointments/views.py:PublicOnlineBookingCreateView, PublicCompanyResolveView; /api/public/bookings/, /api/public/company/{slug}/</t>
        </is>
      </c>
      <c r="I45" s="16" t="inlineStr">
        <is>
          <t>src/routes/$companySlug.tsx (30 KB) – full booking flow; src/routes/book.tsx (12 KB)</t>
        </is>
      </c>
      <c r="J45" s="16" t="inlineStr">
        <is>
          <t>Y</t>
        </is>
      </c>
      <c r="K45" s="16" t="inlineStr">
        <is>
          <t>Y – test_phase4.py passes</t>
        </is>
      </c>
      <c r="L45" s="16" t="inlineStr">
        <is>
          <t>High</t>
        </is>
      </c>
      <c r="M45" s="16" t="inlineStr">
        <is>
          <t>Ran pytest test_phase4.py – passes</t>
        </is>
      </c>
      <c r="N45" s="16" t="inlineStr">
        <is>
          <t>CAPTCHA is MOCK_CAPTCHA_TOKEN in $companySlug.tsx:187</t>
        </is>
      </c>
      <c r="O45" s="16" t="inlineStr">
        <is>
          <t>Integrate real CAPTCHA before production</t>
        </is>
      </c>
    </row>
    <row r="46" ht="58" customHeight="1">
      <c r="A46" s="16" t="inlineStr">
        <is>
          <t>M5-06</t>
        </is>
      </c>
      <c r="B46" s="16" t="inlineStr">
        <is>
          <t>Method 4: OTP verification</t>
        </is>
      </c>
      <c r="C46" s="16" t="inlineStr">
        <is>
          <t>M5 – Queuing Solution Methods</t>
        </is>
      </c>
      <c r="D46" s="17" t="inlineStr">
        <is>
          <t>Must</t>
        </is>
      </c>
      <c r="E46" s="16" t="inlineStr">
        <is>
          <t>Medium</t>
        </is>
      </c>
      <c r="F46" s="20" t="inlineStr">
        <is>
          <t>Partially Working</t>
        </is>
      </c>
      <c r="G46" s="19" t="n">
        <v>50</v>
      </c>
      <c r="H46" s="16" t="inlineStr">
        <is>
          <t>appointments/views.py:OtpSendView, OtpVerifyView; /api/public/appointments/otp/send|verify/</t>
        </is>
      </c>
      <c r="I46" s="16" t="inlineStr">
        <is>
          <t>$companySlug.tsx – OTP step; src/components/quesole/otp.tsx</t>
        </is>
      </c>
      <c r="J46" s="16" t="inlineStr">
        <is>
          <t>N</t>
        </is>
      </c>
      <c r="K46" s="16" t="inlineStr">
        <is>
          <t>Y – test_phase4.py passes (uses console backend)</t>
        </is>
      </c>
      <c r="L46" s="16" t="inlineStr">
        <is>
          <t>High</t>
        </is>
      </c>
      <c r="M46" s="16" t="inlineStr">
        <is>
          <t>Ran pytest test_phase4.py – OTP tests pass; read .env – SMS_BACKEND=console (real SMS not sent)</t>
        </is>
      </c>
      <c r="N46" s="16" t="inlineStr">
        <is>
          <t>SMS_BACKEND=console – real SMS not delivered; no MSG91/Twilio credentials in .env</t>
        </is>
      </c>
      <c r="O46" s="16" t="inlineStr">
        <is>
          <t>Configure MSG91_AUTH_KEY or TWILIO credentials</t>
        </is>
      </c>
    </row>
    <row r="47" ht="58" customHeight="1">
      <c r="A47" s="16" t="inlineStr">
        <is>
          <t>M5-07</t>
        </is>
      </c>
      <c r="B47" s="16" t="inlineStr">
        <is>
          <t>Method 4: Appointment management</t>
        </is>
      </c>
      <c r="C47" s="16" t="inlineStr">
        <is>
          <t>M5 – Queuing Solution Methods</t>
        </is>
      </c>
      <c r="D47" s="21" t="inlineStr">
        <is>
          <t>Should</t>
        </is>
      </c>
      <c r="E47" s="16" t="inlineStr">
        <is>
          <t>Medium</t>
        </is>
      </c>
      <c r="F47" s="18" t="inlineStr">
        <is>
          <t>Fully Working</t>
        </is>
      </c>
      <c r="G47" s="19" t="n">
        <v>100</v>
      </c>
      <c r="H47" s="16" t="inlineStr">
        <is>
          <t>appointments/views.py:AppointmentManageView, AppointmentRescheduleView, AppointmentCancelView; /api/public/appointments/manage/{code}/reschedule|cancel/</t>
        </is>
      </c>
      <c r="I47" s="16" t="inlineStr">
        <is>
          <t>$companySlug.tsx – manage section with reschedule/cancel</t>
        </is>
      </c>
      <c r="J47" s="16" t="inlineStr">
        <is>
          <t>Y</t>
        </is>
      </c>
      <c r="K47" s="16" t="inlineStr">
        <is>
          <t>Y – test_phase4.py passes</t>
        </is>
      </c>
      <c r="L47" s="16" t="inlineStr">
        <is>
          <t>High</t>
        </is>
      </c>
      <c r="M47" s="16" t="inlineStr">
        <is>
          <t>Ran pytest test_phase4.py – appointment management tests pass</t>
        </is>
      </c>
      <c r="N47" s="16" t="inlineStr">
        <is>
          <t>None</t>
        </is>
      </c>
      <c r="O47" s="16" t="inlineStr">
        <is>
          <t>—</t>
        </is>
      </c>
    </row>
    <row r="48" ht="58" customHeight="1">
      <c r="A48" s="16" t="inlineStr">
        <is>
          <t>M5-08</t>
        </is>
      </c>
      <c r="B48" s="16" t="inlineStr">
        <is>
          <t>Unified queue view (walk-in + appointment)</t>
        </is>
      </c>
      <c r="C48" s="16" t="inlineStr">
        <is>
          <t>M5 – Queuing Solution Methods</t>
        </is>
      </c>
      <c r="D48" s="17" t="inlineStr">
        <is>
          <t>Must</t>
        </is>
      </c>
      <c r="E48" s="16" t="inlineStr">
        <is>
          <t>Medium</t>
        </is>
      </c>
      <c r="F48" s="20" t="inlineStr">
        <is>
          <t>Partially Working</t>
        </is>
      </c>
      <c r="G48" s="19" t="n">
        <v>50</v>
      </c>
      <c r="H48" s="16" t="inlineStr">
        <is>
          <t>queuing/views.py:TicketViewSet returns all tickets (walk-in + appointment source); appointment tickets created via appointments/signals.py</t>
        </is>
      </c>
      <c r="I48" s="16" t="inlineStr">
        <is>
          <t>branch-console.tsx – single queue list; test_phase4.py::test_prioritized_unified_queue FAILED (assert 16==14)</t>
        </is>
      </c>
      <c r="J48" s="16" t="inlineStr">
        <is>
          <t>N</t>
        </is>
      </c>
      <c r="K48" s="16" t="inlineStr">
        <is>
          <t>N – test_phase4.py::test_prioritized_unified_queue FAILED</t>
        </is>
      </c>
      <c r="L48" s="16" t="inlineStr">
        <is>
          <t>High</t>
        </is>
      </c>
      <c r="M48" s="16" t="inlineStr">
        <is>
          <t>Ran pytest – test_prioritized_unified_queue FAILED (position count mismatch 16 vs 14) – unified ordering broken</t>
        </is>
      </c>
      <c r="N48" s="16" t="inlineStr">
        <is>
          <t>test_phase4.py::test_prioritized_unified_queue FAILED – appointment+walk-in ordering logic bug</t>
        </is>
      </c>
      <c r="O48" s="16" t="inlineStr">
        <is>
          <t>Fix unified queue sort/prioritization in TicketViewSet</t>
        </is>
      </c>
    </row>
    <row r="49" ht="58" customHeight="1">
      <c r="A49" s="16" t="inlineStr">
        <is>
          <t>M5-09</t>
        </is>
      </c>
      <c r="B49" s="16" t="inlineStr">
        <is>
          <t>Customer token status tracking page</t>
        </is>
      </c>
      <c r="C49" s="16" t="inlineStr">
        <is>
          <t>M5 – Queuing Solution Methods</t>
        </is>
      </c>
      <c r="D49" s="17" t="inlineStr">
        <is>
          <t>Must</t>
        </is>
      </c>
      <c r="E49" s="16" t="inlineStr">
        <is>
          <t>Medium</t>
        </is>
      </c>
      <c r="F49" s="18" t="inlineStr">
        <is>
          <t>Fully Working</t>
        </is>
      </c>
      <c r="G49" s="19" t="n">
        <v>100</v>
      </c>
      <c r="H49" s="16" t="inlineStr">
        <is>
          <t>queuing/views.py:PublicTicketDetailView, PublicTrackingView; /api/public/ticket/{id}/, /api/public/tracking/{code}/</t>
        </is>
      </c>
      <c r="I49" s="16" t="inlineStr">
        <is>
          <t>src/routes/t.$ticketId.tsx (7 KB) – position + ETA display</t>
        </is>
      </c>
      <c r="J49" s="16" t="inlineStr">
        <is>
          <t>Y</t>
        </is>
      </c>
      <c r="K49" s="16" t="inlineStr">
        <is>
          <t>N – no test for public tracking endpoint</t>
        </is>
      </c>
      <c r="L49" s="16" t="inlineStr">
        <is>
          <t>High</t>
        </is>
      </c>
      <c r="M49" s="16" t="inlineStr">
        <is>
          <t>Read t.$ticketId.tsx – calls /api/public/ticket/{id}/ which is registered and implemented; PublicTicketDetailView confirmed in queuing/views.py</t>
        </is>
      </c>
      <c r="N49" s="16" t="inlineStr">
        <is>
          <t>None</t>
        </is>
      </c>
      <c r="O49" s="16" t="inlineStr">
        <is>
          <t>Add test_public_tracking.py</t>
        </is>
      </c>
    </row>
    <row r="50" ht="58" customHeight="1">
      <c r="A50" s="16" t="inlineStr">
        <is>
          <t>M5-10</t>
        </is>
      </c>
      <c r="B50" s="16" t="inlineStr">
        <is>
          <t>Queue transfer / re-route</t>
        </is>
      </c>
      <c r="C50" s="16" t="inlineStr">
        <is>
          <t>M5 – Queuing Solution Methods</t>
        </is>
      </c>
      <c r="D50" s="21" t="inlineStr">
        <is>
          <t>Should</t>
        </is>
      </c>
      <c r="E50" s="16" t="inlineStr">
        <is>
          <t>Low</t>
        </is>
      </c>
      <c r="F50" s="18" t="inlineStr">
        <is>
          <t>Fully Working</t>
        </is>
      </c>
      <c r="G50" s="19" t="n">
        <v>100</v>
      </c>
      <c r="H50" s="16" t="inlineStr">
        <is>
          <t>queuing/views.py:TicketViewSet action() handles transfer/redirect; Ticket.desk can be reassigned</t>
        </is>
      </c>
      <c r="I50" s="16" t="inlineStr">
        <is>
          <t>branch-console.tsx – transfer button in ticket action menu</t>
        </is>
      </c>
      <c r="J50" s="16" t="inlineStr">
        <is>
          <t>Y</t>
        </is>
      </c>
      <c r="K50" s="16" t="inlineStr">
        <is>
          <t>N</t>
        </is>
      </c>
      <c r="L50" s="16" t="inlineStr">
        <is>
          <t>High</t>
        </is>
      </c>
      <c r="M50" s="16" t="inlineStr">
        <is>
          <t>Read TicketViewSet action() – transfer case updates desk_id and re-broadcasts; UI confirmed in branch-console.tsx</t>
        </is>
      </c>
      <c r="N50" s="16" t="inlineStr">
        <is>
          <t>None</t>
        </is>
      </c>
      <c r="O50" s="16" t="inlineStr">
        <is>
          <t>Add transfer test</t>
        </is>
      </c>
    </row>
    <row r="51" ht="58" customHeight="1">
      <c r="A51" s="16" t="inlineStr">
        <is>
          <t>M6-01</t>
        </is>
      </c>
      <c r="B51" s="16" t="inlineStr">
        <is>
          <t>Fully responsive staff/admin console</t>
        </is>
      </c>
      <c r="C51" s="16" t="inlineStr">
        <is>
          <t>M6 – Responsive Web Access</t>
        </is>
      </c>
      <c r="D51" s="17" t="inlineStr">
        <is>
          <t>Must</t>
        </is>
      </c>
      <c r="E51" s="16" t="inlineStr">
        <is>
          <t>Medium</t>
        </is>
      </c>
      <c r="F51" s="18" t="inlineStr">
        <is>
          <t>Fully Working</t>
        </is>
      </c>
      <c r="G51" s="19" t="n">
        <v>100</v>
      </c>
      <c r="H51" s="16" t="inlineStr">
        <is>
          <t>N/A</t>
        </is>
      </c>
      <c r="I51" s="16" t="inlineStr">
        <is>
          <t>All console components use Tailwind responsive classes (sm:/lg:); shell.tsx has mobile-first sidebar</t>
        </is>
      </c>
      <c r="J51" s="16" t="inlineStr">
        <is>
          <t>Y</t>
        </is>
      </c>
      <c r="K51" s="16" t="inlineStr">
        <is>
          <t>N</t>
        </is>
      </c>
      <c r="L51" s="16" t="inlineStr">
        <is>
          <t>High</t>
        </is>
      </c>
      <c r="M51" s="16" t="inlineStr">
        <is>
          <t>Read shell.tsx – sidebar collapses on mobile; branch-console/company-admin use responsive grid</t>
        </is>
      </c>
      <c r="N51" s="16" t="inlineStr">
        <is>
          <t>None</t>
        </is>
      </c>
      <c r="O51" s="16" t="inlineStr">
        <is>
          <t>—</t>
        </is>
      </c>
    </row>
    <row r="52" ht="58" customHeight="1">
      <c r="A52" s="16" t="inlineStr">
        <is>
          <t>M6-02</t>
        </is>
      </c>
      <c r="B52" s="16" t="inlineStr">
        <is>
          <t>Browser push notifications</t>
        </is>
      </c>
      <c r="C52" s="16" t="inlineStr">
        <is>
          <t>M6 – Responsive Web Access</t>
        </is>
      </c>
      <c r="D52" s="21" t="inlineStr">
        <is>
          <t>Should</t>
        </is>
      </c>
      <c r="E52" s="16" t="inlineStr">
        <is>
          <t>Medium</t>
        </is>
      </c>
      <c r="F52" s="23" t="inlineStr">
        <is>
          <t>Not Started</t>
        </is>
      </c>
      <c r="G52" s="19" t="n">
        <v>0</v>
      </c>
      <c r="H52" s="16" t="inlineStr">
        <is>
          <t>N/A – searched all .py for FCM|firebase|vapid|push_notification – no results</t>
        </is>
      </c>
      <c r="I52" s="16" t="inlineStr">
        <is>
          <t>N/A – searched all .tsx for PushManager|ServiceWorker|Notification.requestPermission – no results</t>
        </is>
      </c>
      <c r="J52" s="16" t="inlineStr">
        <is>
          <t>N</t>
        </is>
      </c>
      <c r="K52" s="16" t="inlineStr">
        <is>
          <t>N</t>
        </is>
      </c>
      <c r="L52" s="16" t="inlineStr">
        <is>
          <t>High</t>
        </is>
      </c>
      <c r="M52" s="16" t="inlineStr">
        <is>
          <t>grep backend for FCM|firebase|vapid; grep frontend for PushManager|ServiceWorker – zero hits</t>
        </is>
      </c>
      <c r="N52" s="16" t="inlineStr">
        <is>
          <t>Feature entirely absent</t>
        </is>
      </c>
      <c r="O52" s="16" t="inlineStr">
        <is>
          <t>Implement Web Push (VAPID key + service worker) or Firebase FCM integration</t>
        </is>
      </c>
    </row>
    <row r="53" ht="58" customHeight="1">
      <c r="A53" s="16" t="inlineStr">
        <is>
          <t>M6-03</t>
        </is>
      </c>
      <c r="B53" s="16" t="inlineStr">
        <is>
          <t>Installable Progressive Web App (PWA)</t>
        </is>
      </c>
      <c r="C53" s="16" t="inlineStr">
        <is>
          <t>M6 – Responsive Web Access</t>
        </is>
      </c>
      <c r="D53" s="22" t="inlineStr">
        <is>
          <t>Could</t>
        </is>
      </c>
      <c r="E53" s="16" t="inlineStr">
        <is>
          <t>Medium</t>
        </is>
      </c>
      <c r="F53" s="23" t="inlineStr">
        <is>
          <t>Not Started</t>
        </is>
      </c>
      <c r="G53" s="19" t="n">
        <v>0</v>
      </c>
      <c r="H53" s="16" t="inlineStr">
        <is>
          <t>N/A</t>
        </is>
      </c>
      <c r="I53" s="16" t="inlineStr">
        <is>
          <t>public/ has no manifest.json or sw.js; vite.config.ts has no vite-plugin-pwa</t>
        </is>
      </c>
      <c r="J53" s="16" t="inlineStr">
        <is>
          <t>N</t>
        </is>
      </c>
      <c r="K53" s="16" t="inlineStr">
        <is>
          <t>N</t>
        </is>
      </c>
      <c r="L53" s="16" t="inlineStr">
        <is>
          <t>High</t>
        </is>
      </c>
      <c r="M53" s="16" t="inlineStr">
        <is>
          <t>Listed public/ directory – no manifest.json or service worker; checked vite.config.ts – no PWA plugin</t>
        </is>
      </c>
      <c r="N53" s="16" t="inlineStr">
        <is>
          <t>No manifest, no service worker, no install prompt</t>
        </is>
      </c>
      <c r="O53" s="16" t="inlineStr">
        <is>
          <t>Add vite-plugin-pwa; create public/manifest.json</t>
        </is>
      </c>
    </row>
    <row r="54" ht="58" customHeight="1">
      <c r="A54" s="16" t="inlineStr">
        <is>
          <t>M6-04</t>
        </is>
      </c>
      <c r="B54" s="16" t="inlineStr">
        <is>
          <t>Offline-tolerant queue view (PWA)</t>
        </is>
      </c>
      <c r="C54" s="16" t="inlineStr">
        <is>
          <t>M6 – Responsive Web Access</t>
        </is>
      </c>
      <c r="D54" s="22" t="inlineStr">
        <is>
          <t>Could</t>
        </is>
      </c>
      <c r="E54" s="16" t="inlineStr">
        <is>
          <t>High</t>
        </is>
      </c>
      <c r="F54" s="23" t="inlineStr">
        <is>
          <t>Not Started</t>
        </is>
      </c>
      <c r="G54" s="19" t="n">
        <v>0</v>
      </c>
      <c r="H54" s="16" t="inlineStr">
        <is>
          <t>N/A</t>
        </is>
      </c>
      <c r="I54" s="16" t="inlineStr">
        <is>
          <t>N/A – depends on M6-03 which is Not Started</t>
        </is>
      </c>
      <c r="J54" s="16" t="inlineStr">
        <is>
          <t>N</t>
        </is>
      </c>
      <c r="K54" s="16" t="inlineStr">
        <is>
          <t>N</t>
        </is>
      </c>
      <c r="L54" s="16" t="inlineStr">
        <is>
          <t>High</t>
        </is>
      </c>
      <c r="M54" s="16" t="inlineStr">
        <is>
          <t>M6-03 is Not Started; offline caching not possible without service worker</t>
        </is>
      </c>
      <c r="N54" s="16" t="inlineStr">
        <is>
          <t>Depends on M6-03 (PWA) which is not started</t>
        </is>
      </c>
      <c r="O54" s="16" t="inlineStr">
        <is>
          <t>Implement M6-03 first</t>
        </is>
      </c>
    </row>
    <row r="55" ht="58" customHeight="1">
      <c r="A55" s="16" t="inlineStr">
        <is>
          <t>M7-01</t>
        </is>
      </c>
      <c r="B55" s="16" t="inlineStr">
        <is>
          <t>Kiosk touch-screen service selection</t>
        </is>
      </c>
      <c r="C55" s="16" t="inlineStr">
        <is>
          <t>M7 – KOT Printing</t>
        </is>
      </c>
      <c r="D55" s="17" t="inlineStr">
        <is>
          <t>Must</t>
        </is>
      </c>
      <c r="E55" s="16" t="inlineStr">
        <is>
          <t>Medium</t>
        </is>
      </c>
      <c r="F55" s="18" t="inlineStr">
        <is>
          <t>Fully Working</t>
        </is>
      </c>
      <c r="G55" s="19" t="n">
        <v>100</v>
      </c>
      <c r="H55" s="16" t="inlineStr">
        <is>
          <t>kot/views.py:KioskJoinView; POST /api/kiosk/join/</t>
        </is>
      </c>
      <c r="I55" s="16" t="inlineStr">
        <is>
          <t>src/routes/kiosk.$branchId.tsx (52 KB) – touch UI with service selector</t>
        </is>
      </c>
      <c r="J55" s="16" t="inlineStr">
        <is>
          <t>Y</t>
        </is>
      </c>
      <c r="K55" s="16" t="inlineStr">
        <is>
          <t>Y – test_phase3.py passes</t>
        </is>
      </c>
      <c r="L55" s="16" t="inlineStr">
        <is>
          <t>High</t>
        </is>
      </c>
      <c r="M55" s="16" t="inlineStr">
        <is>
          <t>Ran pytest test_phase3.py – kiosk join tests pass</t>
        </is>
      </c>
      <c r="N55" s="16" t="inlineStr">
        <is>
          <t>None</t>
        </is>
      </c>
      <c r="O55" s="16" t="inlineStr">
        <is>
          <t>—</t>
        </is>
      </c>
    </row>
    <row r="56" ht="58" customHeight="1">
      <c r="A56" s="16" t="inlineStr">
        <is>
          <t>M7-02</t>
        </is>
      </c>
      <c r="B56" s="16" t="inlineStr">
        <is>
          <t>Physical token print</t>
        </is>
      </c>
      <c r="C56" s="16" t="inlineStr">
        <is>
          <t>M7 – KOT Printing</t>
        </is>
      </c>
      <c r="D56" s="17" t="inlineStr">
        <is>
          <t>Must</t>
        </is>
      </c>
      <c r="E56" s="16" t="inlineStr">
        <is>
          <t>Medium</t>
        </is>
      </c>
      <c r="F56" s="20" t="inlineStr">
        <is>
          <t>Partially Working</t>
        </is>
      </c>
      <c r="G56" s="19" t="n">
        <v>50</v>
      </c>
      <c r="H56" s="16" t="inlineStr">
        <is>
          <t>kot/models.py:KotPrintJob (queued→printed); PrinterJobsView/PrinterJobCompleteView for device polling</t>
        </is>
      </c>
      <c r="I56" s="16" t="inlineStr">
        <is>
          <t>kiosk.$branchId.tsx – triggers print job on token issue</t>
        </is>
      </c>
      <c r="J56" s="16" t="inlineStr">
        <is>
          <t>N</t>
        </is>
      </c>
      <c r="K56" s="16" t="inlineStr">
        <is>
          <t>Y – test_phase3.py passes for print job creation; physical printer not testable</t>
        </is>
      </c>
      <c r="L56" s="16" t="inlineStr">
        <is>
          <t>High</t>
        </is>
      </c>
      <c r="M56" s="16" t="inlineStr">
        <is>
          <t>Ran pytest test_phase3.py – print job creation passes; physical ESC/POS bridge is external hardware – cannot test in this environment</t>
        </is>
      </c>
      <c r="N56" s="16" t="inlineStr">
        <is>
          <t>Physical ESC/POS printer bridge is external hardware (cannot verify in dev)</t>
        </is>
      </c>
      <c r="O56" s="16" t="inlineStr">
        <is>
          <t>Test with actual ESC/POS printer or USB bridge agent</t>
        </is>
      </c>
    </row>
    <row r="57" ht="58" customHeight="1">
      <c r="A57" s="16" t="inlineStr">
        <is>
          <t>M7-03</t>
        </is>
      </c>
      <c r="B57" s="16" t="inlineStr">
        <is>
          <t>Unified digital sync</t>
        </is>
      </c>
      <c r="C57" s="16" t="inlineStr">
        <is>
          <t>M7 – KOT Printing</t>
        </is>
      </c>
      <c r="D57" s="17" t="inlineStr">
        <is>
          <t>Must</t>
        </is>
      </c>
      <c r="E57" s="16" t="inlineStr">
        <is>
          <t>Medium</t>
        </is>
      </c>
      <c r="F57" s="18" t="inlineStr">
        <is>
          <t>Fully Working</t>
        </is>
      </c>
      <c r="G57" s="19" t="n">
        <v>100</v>
      </c>
      <c r="H57" s="16" t="inlineStr">
        <is>
          <t>kot/views.py:KioskJoinView calls broadcast_queue_update() → WebSocket push to operators; Ticket created with source_method=KOT_PRINT</t>
        </is>
      </c>
      <c r="I57" s="16" t="inlineStr">
        <is>
          <t>branch-console.tsx receives WS update showing kiosk ticket in queue</t>
        </is>
      </c>
      <c r="J57" s="16" t="inlineStr">
        <is>
          <t>Y</t>
        </is>
      </c>
      <c r="K57" s="16" t="inlineStr">
        <is>
          <t>Y – test_phase3.py passes</t>
        </is>
      </c>
      <c r="L57" s="16" t="inlineStr">
        <is>
          <t>High</t>
        </is>
      </c>
      <c r="M57" s="16" t="inlineStr">
        <is>
          <t>Read KioskJoinView:70 – broadcast_queue_update(branch.id, ticket) called after Ticket.objects.create; test_phase3.py passes</t>
        </is>
      </c>
      <c r="N57" s="16" t="inlineStr">
        <is>
          <t>None</t>
        </is>
      </c>
      <c r="O57" s="16" t="inlineStr">
        <is>
          <t>—</t>
        </is>
      </c>
    </row>
    <row r="58" ht="58" customHeight="1">
      <c r="A58" s="16" t="inlineStr">
        <is>
          <t>M7-04</t>
        </is>
      </c>
      <c r="B58" s="16" t="inlineStr">
        <is>
          <t>Printer health monitoring</t>
        </is>
      </c>
      <c r="C58" s="16" t="inlineStr">
        <is>
          <t>M7 – KOT Printing</t>
        </is>
      </c>
      <c r="D58" s="21" t="inlineStr">
        <is>
          <t>Should</t>
        </is>
      </c>
      <c r="E58" s="16" t="inlineStr">
        <is>
          <t>Medium</t>
        </is>
      </c>
      <c r="F58" s="18" t="inlineStr">
        <is>
          <t>Fully Working</t>
        </is>
      </c>
      <c r="G58" s="19" t="n">
        <v>100</v>
      </c>
      <c r="H58" s="16" t="inlineStr">
        <is>
          <t>kot/views.py:PrinterHeartbeatView; POST /api/kot/heartbeat/; triggers dispatch_notification() on offline status</t>
        </is>
      </c>
      <c r="I58" s="16" t="inlineStr">
        <is>
          <t>branch-desks-services.tsx – printer status indicators</t>
        </is>
      </c>
      <c r="J58" s="16" t="inlineStr">
        <is>
          <t>Y</t>
        </is>
      </c>
      <c r="K58" s="16" t="inlineStr">
        <is>
          <t>Y – test_phase3.py covers heartbeat</t>
        </is>
      </c>
      <c r="L58" s="16" t="inlineStr">
        <is>
          <t>High</t>
        </is>
      </c>
      <c r="M58" s="16" t="inlineStr">
        <is>
          <t>Ran pytest test_phase3.py – printer heartbeat tests pass; read PrinterHeartbeatView:99 – dispatches alert on offline</t>
        </is>
      </c>
      <c r="N58" s="16" t="inlineStr">
        <is>
          <t>Kiosk staff-override PIN: searched backend for pin|kiosk_pass|override_pin – kiosk_password_hash exists in Branch model; no separate PIN endpoint; kiosk.$branchId.tsx:679 PIN input exists but no API call found</t>
        </is>
      </c>
      <c r="O58" s="16" t="inlineStr">
        <is>
          <t>Wire kiosk.$branchId.tsx PIN field to POST /api/kot/staff-override/ endpoint (needs creating)</t>
        </is>
      </c>
    </row>
    <row r="59" ht="58" customHeight="1">
      <c r="A59" s="16" t="inlineStr">
        <is>
          <t>M8-01</t>
        </is>
      </c>
      <c r="B59" s="16" t="inlineStr">
        <is>
          <t>Staff/admin login (JWT)</t>
        </is>
      </c>
      <c r="C59" s="16" t="inlineStr">
        <is>
          <t>M8 – Auth, RBAC &amp; Multi-Tenancy</t>
        </is>
      </c>
      <c r="D59" s="17" t="inlineStr">
        <is>
          <t>Must</t>
        </is>
      </c>
      <c r="E59" s="16" t="inlineStr">
        <is>
          <t>Medium</t>
        </is>
      </c>
      <c r="F59" s="18" t="inlineStr">
        <is>
          <t>Fully Working</t>
        </is>
      </c>
      <c r="G59" s="19" t="n">
        <v>100</v>
      </c>
      <c r="H59" s="16" t="inlineStr">
        <is>
          <t>accounts/views.py:CustomTokenObtainPairView, LogoutView, TokenRefreshView; /api/auth/login|logout|refresh/; simplejwt blacklist</t>
        </is>
      </c>
      <c r="I59" s="16" t="inlineStr">
        <is>
          <t>src/routes/login.tsx (18 KB); store.tsx:signIn()</t>
        </is>
      </c>
      <c r="J59" s="16" t="inlineStr">
        <is>
          <t>Y</t>
        </is>
      </c>
      <c r="K59" s="16" t="inlineStr">
        <is>
          <t>Y – test_auth.py all 5 pass</t>
        </is>
      </c>
      <c r="L59" s="16" t="inlineStr">
        <is>
          <t>High</t>
        </is>
      </c>
      <c r="M59" s="16" t="inlineStr">
        <is>
          <t>Ran pytest tests/test_auth.py – all 5 tests pass</t>
        </is>
      </c>
      <c r="N59" s="16" t="inlineStr">
        <is>
          <t>JWT key &lt; 32 bytes (InsecureKeyLengthWarning in test output) – not blocking but should be fixed</t>
        </is>
      </c>
      <c r="O59" s="16" t="inlineStr">
        <is>
          <t>Set SECRET_KEY ≥ 32 bytes in .env</t>
        </is>
      </c>
    </row>
    <row r="60" ht="58" customHeight="1">
      <c r="A60" s="16" t="inlineStr">
        <is>
          <t>M8-02</t>
        </is>
      </c>
      <c r="B60" s="16" t="inlineStr">
        <is>
          <t>Password reset / forgot password</t>
        </is>
      </c>
      <c r="C60" s="16" t="inlineStr">
        <is>
          <t>M8 – Auth, RBAC &amp; Multi-Tenancy</t>
        </is>
      </c>
      <c r="D60" s="17" t="inlineStr">
        <is>
          <t>Must</t>
        </is>
      </c>
      <c r="E60" s="16" t="inlineStr">
        <is>
          <t>Low</t>
        </is>
      </c>
      <c r="F60" s="24" t="inlineStr">
        <is>
          <t>Scaffolded</t>
        </is>
      </c>
      <c r="G60" s="19" t="n">
        <v>25</v>
      </c>
      <c r="H60" s="16" t="inlineStr">
        <is>
          <t>N/A – confirmed no password reset endpoint in queuing_solutions/urls.py or accounts/views.py; searched all urls.py files</t>
        </is>
      </c>
      <c r="I60" s="16" t="inlineStr">
        <is>
          <t>src/routes/forgot-password.tsx (7 KB) – UI exists (email input + submit)</t>
        </is>
      </c>
      <c r="J60" s="16" t="inlineStr">
        <is>
          <t>N</t>
        </is>
      </c>
      <c r="K60" s="16" t="inlineStr">
        <is>
          <t>N</t>
        </is>
      </c>
      <c r="L60" s="16" t="inlineStr">
        <is>
          <t>High</t>
        </is>
      </c>
      <c r="M60" s="16" t="inlineStr">
        <is>
          <t>grep queuing_solutions/urls.py for 'password' – zero results; grep accounts/views.py for 'reset|forgot' – zero results; accounts/ has no urls.py; forgot-password.tsx has UI but no API call confirmed</t>
        </is>
      </c>
      <c r="N60" s="16" t="inlineStr">
        <is>
          <t>Zero backend implementation – no reset token generation, no email dispatch, no confirm endpoint</t>
        </is>
      </c>
      <c r="O60" s="16" t="inlineStr">
        <is>
          <t>Implement POST /api/auth/password-reset/ + /api/auth/password-reset/confirm/ in accounts/views.py</t>
        </is>
      </c>
    </row>
    <row r="61" ht="58" customHeight="1">
      <c r="A61" s="16" t="inlineStr">
        <is>
          <t>M8-03</t>
        </is>
      </c>
      <c r="B61" s="16" t="inlineStr">
        <is>
          <t>Role-Based Access Control (RBAC)</t>
        </is>
      </c>
      <c r="C61" s="16" t="inlineStr">
        <is>
          <t>M8 – Auth, RBAC &amp; Multi-Tenancy</t>
        </is>
      </c>
      <c r="D61" s="17" t="inlineStr">
        <is>
          <t>Must</t>
        </is>
      </c>
      <c r="E61" s="16" t="inlineStr">
        <is>
          <t>High</t>
        </is>
      </c>
      <c r="F61" s="20" t="inlineStr">
        <is>
          <t>Partially Working</t>
        </is>
      </c>
      <c r="G61" s="19" t="n">
        <v>50</v>
      </c>
      <c r="H61" s="16" t="inlineStr">
        <is>
          <t>core/permissions.py:IsSuperAdmin, IsCompanyAdmin, IsBranchAdmin, IsDeskStaff, IsBranchAdminOnly; applied consistently</t>
        </is>
      </c>
      <c r="I61" s="16" t="inlineStr">
        <is>
          <t>app.tsx role-gated navigation; store.tsx role checks</t>
        </is>
      </c>
      <c r="J61" s="16" t="inlineStr">
        <is>
          <t>N</t>
        </is>
      </c>
      <c r="K61" s="16" t="inlineStr">
        <is>
          <t>N – test_rbac.py: 4 FAILED (test_desk_service_permissions_by_role, test_qr_code_permissions_by_role, test_kot_printer_permissions_by_role, test_company_users_permissions_by_role)</t>
        </is>
      </c>
      <c r="L61" s="16" t="inlineStr">
        <is>
          <t>High</t>
        </is>
      </c>
      <c r="M61" s="16" t="inlineStr">
        <is>
          <t>Ran pytest tests/test_rbac.py – 4 tests FAIL: QR endpoint returns 200 for unauthorized role; desk-service returns 400 instead of 403; KOT printer returns 400 instead of 403; company users returns 200 instead of 403</t>
        </is>
      </c>
      <c r="N61" s="16" t="inlineStr">
        <is>
          <t>4 RBAC tests fail – missing permission guards on QR, desk-service, KOT printer, and company users endpoints</t>
        </is>
      </c>
      <c r="O61" s="16" t="inlineStr">
        <is>
          <t>Add correct IsCompanyAdminOnly/IsBranchAdmin guards to failing endpoints; fix test_rbac.py</t>
        </is>
      </c>
    </row>
    <row r="62" ht="58" customHeight="1">
      <c r="A62" s="16" t="inlineStr">
        <is>
          <t>M8-04</t>
        </is>
      </c>
      <c r="B62" s="16" t="inlineStr">
        <is>
          <t>Tenant data isolation</t>
        </is>
      </c>
      <c r="C62" s="16" t="inlineStr">
        <is>
          <t>M8 – Auth, RBAC &amp; Multi-Tenancy</t>
        </is>
      </c>
      <c r="D62" s="17" t="inlineStr">
        <is>
          <t>Must</t>
        </is>
      </c>
      <c r="E62" s="16" t="inlineStr">
        <is>
          <t>High</t>
        </is>
      </c>
      <c r="F62" s="18" t="inlineStr">
        <is>
          <t>Fully Working</t>
        </is>
      </c>
      <c r="G62" s="19" t="n">
        <v>100</v>
      </c>
      <c r="H62" s="16" t="inlineStr">
        <is>
          <t>core/managers.py:TenantManager applied to all models; filters by company automatically; test_tenant_isolation.py</t>
        </is>
      </c>
      <c r="I62" s="16" t="inlineStr">
        <is>
          <t>store.tsx company-scoped data fetching</t>
        </is>
      </c>
      <c r="J62" s="16" t="inlineStr">
        <is>
          <t>Y</t>
        </is>
      </c>
      <c r="K62" s="16" t="inlineStr">
        <is>
          <t>Y – test_tenant_isolation.py (3 pass)</t>
        </is>
      </c>
      <c r="L62" s="16" t="inlineStr">
        <is>
          <t>High</t>
        </is>
      </c>
      <c r="M62" s="16" t="inlineStr">
        <is>
          <t>Ran pytest tests/test_tenant_isolation.py – all 3 pass</t>
        </is>
      </c>
      <c r="N62" s="16" t="inlineStr">
        <is>
          <t>None</t>
        </is>
      </c>
      <c r="O62" s="16" t="inlineStr">
        <is>
          <t>—</t>
        </is>
      </c>
    </row>
    <row r="63" ht="58" customHeight="1">
      <c r="A63" s="16" t="inlineStr">
        <is>
          <t>M8-05</t>
        </is>
      </c>
      <c r="B63" s="16" t="inlineStr">
        <is>
          <t>Two-Factor Authentication (2FA)</t>
        </is>
      </c>
      <c r="C63" s="16" t="inlineStr">
        <is>
          <t>M8 – Auth, RBAC &amp; Multi-Tenancy</t>
        </is>
      </c>
      <c r="D63" s="21" t="inlineStr">
        <is>
          <t>Should</t>
        </is>
      </c>
      <c r="E63" s="16" t="inlineStr">
        <is>
          <t>Medium</t>
        </is>
      </c>
      <c r="F63" s="23" t="inlineStr">
        <is>
          <t>Not Started</t>
        </is>
      </c>
      <c r="G63" s="19" t="n">
        <v>0</v>
      </c>
      <c r="H63" s="16" t="inlineStr">
        <is>
          <t>N/A – searched for django_otp|two_factor|totp – no project code found (only venv/library files)</t>
        </is>
      </c>
      <c r="I63" s="16" t="inlineStr">
        <is>
          <t>N/A</t>
        </is>
      </c>
      <c r="J63" s="16" t="inlineStr">
        <is>
          <t>N</t>
        </is>
      </c>
      <c r="K63" s="16" t="inlineStr">
        <is>
          <t>N</t>
        </is>
      </c>
      <c r="L63" s="16" t="inlineStr">
        <is>
          <t>High</t>
        </is>
      </c>
      <c r="M63" s="16" t="inlineStr">
        <is>
          <t>grep backend project files (excluding venv/) for totp|django_otp|2fa – zero project-code hits</t>
        </is>
      </c>
      <c r="N63" s="16" t="inlineStr">
        <is>
          <t>Feature entirely absent</t>
        </is>
      </c>
      <c r="O63" s="16" t="inlineStr">
        <is>
          <t>Implement with django-otp or django-allauth 2FA</t>
        </is>
      </c>
    </row>
    <row r="64" ht="58" customHeight="1">
      <c r="A64" s="16" t="inlineStr">
        <is>
          <t>M8-06</t>
        </is>
      </c>
      <c r="B64" s="16" t="inlineStr">
        <is>
          <t>Session/device management</t>
        </is>
      </c>
      <c r="C64" s="16" t="inlineStr">
        <is>
          <t>M8 – Auth, RBAC &amp; Multi-Tenancy</t>
        </is>
      </c>
      <c r="D64" s="22" t="inlineStr">
        <is>
          <t>Could</t>
        </is>
      </c>
      <c r="E64" s="16" t="inlineStr">
        <is>
          <t>Low</t>
        </is>
      </c>
      <c r="F64" s="24" t="inlineStr">
        <is>
          <t>Scaffolded</t>
        </is>
      </c>
      <c r="G64" s="19" t="n">
        <v>25</v>
      </c>
      <c r="H64" s="16" t="inlineStr">
        <is>
          <t>simplejwt TokenBlacklist on logout; no active session listing or device revocation endpoint</t>
        </is>
      </c>
      <c r="I64" s="16" t="inlineStr">
        <is>
          <t>N/A</t>
        </is>
      </c>
      <c r="J64" s="16" t="inlineStr">
        <is>
          <t>N</t>
        </is>
      </c>
      <c r="K64" s="16" t="inlineStr">
        <is>
          <t>N</t>
        </is>
      </c>
      <c r="L64" s="16" t="inlineStr">
        <is>
          <t>High</t>
        </is>
      </c>
      <c r="M64" s="16" t="inlineStr">
        <is>
          <t>LogoutView blacklists refresh token (confirmed in test_auth.py); no /api/auth/sessions/ endpoint to list or revoke individual devices</t>
        </is>
      </c>
      <c r="N64" s="16" t="inlineStr">
        <is>
          <t>Single-device logout only; no multi-device session management</t>
        </is>
      </c>
      <c r="O64" s="16" t="inlineStr">
        <is>
          <t>Implement outstanding token listing + selective revocation</t>
        </is>
      </c>
    </row>
    <row r="65" ht="58" customHeight="1">
      <c r="A65" s="16" t="inlineStr">
        <is>
          <t>M9-01</t>
        </is>
      </c>
      <c r="B65" s="16" t="inlineStr">
        <is>
          <t>Trigger rule engine</t>
        </is>
      </c>
      <c r="C65" s="16" t="inlineStr">
        <is>
          <t>M9 – Alerts &amp; Notifications Engine</t>
        </is>
      </c>
      <c r="D65" s="17" t="inlineStr">
        <is>
          <t>Must</t>
        </is>
      </c>
      <c r="E65" s="16" t="inlineStr">
        <is>
          <t>High</t>
        </is>
      </c>
      <c r="F65" s="18" t="inlineStr">
        <is>
          <t>Fully Working</t>
        </is>
      </c>
      <c r="G65" s="19" t="n">
        <v>100</v>
      </c>
      <c r="H65" s="16" t="inlineStr">
        <is>
          <t>notifications/models.py:AlertRule (trigger_type, threshold, is_active); notifications/tasks.py – 8 check_* tasks that evaluate AlertRule objects</t>
        </is>
      </c>
      <c r="I65" s="16" t="inlineStr">
        <is>
          <t>company-admin.tsx – alert rules tab</t>
        </is>
      </c>
      <c r="J65" s="16" t="inlineStr">
        <is>
          <t>Y</t>
        </is>
      </c>
      <c r="K65" s="16" t="inlineStr">
        <is>
          <t>Y – invoked check_long_wait_times() directly; Notification count confirmed ≥ 0; notifications/tests.py empty but test_phase7.py covers partial</t>
        </is>
      </c>
      <c r="L65" s="16" t="inlineStr">
        <is>
          <t>High</t>
        </is>
      </c>
      <c r="M65" s="16" t="inlineStr">
        <is>
          <t>Called check_long_wait_times() in Django shell – executed without error; AlertRule model confirmed via migrations</t>
        </is>
      </c>
      <c r="N65" s="16" t="inlineStr">
        <is>
          <t>Celery must be running for production; empty notifications/tests.py</t>
        </is>
      </c>
      <c r="O65" s="16" t="inlineStr">
        <is>
          <t>Write tests for each of the 8 trigger types</t>
        </is>
      </c>
    </row>
    <row r="66" ht="58" customHeight="1">
      <c r="A66" s="16" t="inlineStr">
        <is>
          <t>M9-02</t>
        </is>
      </c>
      <c r="B66" s="16" t="inlineStr">
        <is>
          <t>Multi-channel delivery</t>
        </is>
      </c>
      <c r="C66" s="16" t="inlineStr">
        <is>
          <t>M9 – Alerts &amp; Notifications Engine</t>
        </is>
      </c>
      <c r="D66" s="17" t="inlineStr">
        <is>
          <t>Must</t>
        </is>
      </c>
      <c r="E66" s="16" t="inlineStr">
        <is>
          <t>High</t>
        </is>
      </c>
      <c r="F66" s="24" t="inlineStr">
        <is>
          <t>Scaffolded</t>
        </is>
      </c>
      <c r="G66" s="19" t="n">
        <v>25</v>
      </c>
      <c r="H66" s="16" t="inlineStr">
        <is>
          <t>notifications/tasks.py:dispatch_notification() routes to channel (in_app/sms/email/whatsapp); accounts/services/ dir exists; SMS_BACKEND=console</t>
        </is>
      </c>
      <c r="I66" s="16" t="inlineStr">
        <is>
          <t>N/A</t>
        </is>
      </c>
      <c r="J66" s="16" t="inlineStr">
        <is>
          <t>N</t>
        </is>
      </c>
      <c r="K66" s="16" t="inlineStr">
        <is>
          <t>N</t>
        </is>
      </c>
      <c r="L66" s="16" t="inlineStr">
        <is>
          <t>High</t>
        </is>
      </c>
      <c r="M66" s="16" t="inlineStr">
        <is>
          <t>Read dispatch_notification() – channel routing code exists; SMS_BACKEND=console in settings means no real SMS/email; no MSG91/Twilio/SendGrid credentials in .env</t>
        </is>
      </c>
      <c r="N66" s="16" t="inlineStr">
        <is>
          <t>Only in_app channel works; SMS/email/WhatsApp channels go to console stdout</t>
        </is>
      </c>
      <c r="O66" s="16" t="inlineStr">
        <is>
          <t>Configure SMS and email gateway credentials in .env</t>
        </is>
      </c>
    </row>
    <row r="67" ht="58" customHeight="1">
      <c r="A67" s="16" t="inlineStr">
        <is>
          <t>M9-03</t>
        </is>
      </c>
      <c r="B67" s="16" t="inlineStr">
        <is>
          <t>Notification preferences</t>
        </is>
      </c>
      <c r="C67" s="16" t="inlineStr">
        <is>
          <t>M9 – Alerts &amp; Notifications Engine</t>
        </is>
      </c>
      <c r="D67" s="21" t="inlineStr">
        <is>
          <t>Should</t>
        </is>
      </c>
      <c r="E67" s="16" t="inlineStr">
        <is>
          <t>Low</t>
        </is>
      </c>
      <c r="F67" s="23" t="inlineStr">
        <is>
          <t>Not Started</t>
        </is>
      </c>
      <c r="G67" s="19" t="n">
        <v>0</v>
      </c>
      <c r="H67" s="16" t="inlineStr">
        <is>
          <t>N/A – no UserNotificationPreference model or endpoint found</t>
        </is>
      </c>
      <c r="I67" s="16" t="inlineStr">
        <is>
          <t>N/A – no notification preferences UI found in console components</t>
        </is>
      </c>
      <c r="J67" s="16" t="inlineStr">
        <is>
          <t>N</t>
        </is>
      </c>
      <c r="K67" s="16" t="inlineStr">
        <is>
          <t>N</t>
        </is>
      </c>
      <c r="L67" s="16" t="inlineStr">
        <is>
          <t>High</t>
        </is>
      </c>
      <c r="M67" s="16" t="inlineStr">
        <is>
          <t>Searched all models.py for NotificationPreference|UserPreference – zero hits</t>
        </is>
      </c>
      <c r="N67" s="16" t="inlineStr">
        <is>
          <t>Feature entirely absent</t>
        </is>
      </c>
      <c r="O67" s="16" t="inlineStr">
        <is>
          <t>Implement UserNotificationPreference model + /api/notification-preferences/ endpoint</t>
        </is>
      </c>
    </row>
    <row r="68" ht="58" customHeight="1">
      <c r="A68" s="16" t="inlineStr">
        <is>
          <t>M9-04</t>
        </is>
      </c>
      <c r="B68" s="16" t="inlineStr">
        <is>
          <t>Scheduled report delivery</t>
        </is>
      </c>
      <c r="C68" s="16" t="inlineStr">
        <is>
          <t>M9 – Alerts &amp; Notifications Engine</t>
        </is>
      </c>
      <c r="D68" s="21" t="inlineStr">
        <is>
          <t>Should</t>
        </is>
      </c>
      <c r="E68" s="16" t="inlineStr">
        <is>
          <t>Medium</t>
        </is>
      </c>
      <c r="F68" s="23" t="inlineStr">
        <is>
          <t>Not Started</t>
        </is>
      </c>
      <c r="G68" s="19" t="n">
        <v>0</v>
      </c>
      <c r="H68" s="16" t="inlineStr">
        <is>
          <t>N/A – analytics/tasks.py has nightly ReportSnapshot aggregation, but no scheduled email delivery of reports</t>
        </is>
      </c>
      <c r="I68" s="16" t="inlineStr">
        <is>
          <t>N/A</t>
        </is>
      </c>
      <c r="J68" s="16" t="inlineStr">
        <is>
          <t>N</t>
        </is>
      </c>
      <c r="K68" s="16" t="inlineStr">
        <is>
          <t>N</t>
        </is>
      </c>
      <c r="L68" s="16" t="inlineStr">
        <is>
          <t>High</t>
        </is>
      </c>
      <c r="M68" s="16" t="inlineStr">
        <is>
          <t>Read analytics/tasks.py and notifications/tasks.py – no send_scheduled_report or email_report task found</t>
        </is>
      </c>
      <c r="N68" s="16" t="inlineStr">
        <is>
          <t>Feature entirely absent</t>
        </is>
      </c>
      <c r="O68" s="16" t="inlineStr">
        <is>
          <t>Implement Celery task to email CSV exports on schedule</t>
        </is>
      </c>
    </row>
    <row r="69" ht="58" customHeight="1">
      <c r="A69" s="16" t="inlineStr">
        <is>
          <t>M9-05</t>
        </is>
      </c>
      <c r="B69" s="16" t="inlineStr">
        <is>
          <t>In-app notification center</t>
        </is>
      </c>
      <c r="C69" s="16" t="inlineStr">
        <is>
          <t>M9 – Alerts &amp; Notifications Engine</t>
        </is>
      </c>
      <c r="D69" s="17" t="inlineStr">
        <is>
          <t>Must</t>
        </is>
      </c>
      <c r="E69" s="16" t="inlineStr">
        <is>
          <t>Low</t>
        </is>
      </c>
      <c r="F69" s="18" t="inlineStr">
        <is>
          <t>Fully Working</t>
        </is>
      </c>
      <c r="G69" s="19" t="n">
        <v>100</v>
      </c>
      <c r="H69" s="16" t="inlineStr">
        <is>
          <t>notifications/models.py:Notification; /api/notifications/ (list, mark read)</t>
        </is>
      </c>
      <c r="I69" s="16" t="inlineStr">
        <is>
          <t>shell.tsx – notification bell with unread badge; company-admin.tsx alert feed</t>
        </is>
      </c>
      <c r="J69" s="16" t="inlineStr">
        <is>
          <t>Y</t>
        </is>
      </c>
      <c r="K69" s="16" t="inlineStr">
        <is>
          <t>N</t>
        </is>
      </c>
      <c r="L69" s="16" t="inlineStr">
        <is>
          <t>High</t>
        </is>
      </c>
      <c r="M69" s="16" t="inlineStr">
        <is>
          <t>Read NotificationViewSet – list/create/update (mark read) confirmed; shell.tsx bell component confirmed; 8 notifications in DB confirmed</t>
        </is>
      </c>
      <c r="N69" s="16" t="inlineStr">
        <is>
          <t>None</t>
        </is>
      </c>
      <c r="O69" s="16" t="inlineStr">
        <is>
          <t>—</t>
        </is>
      </c>
    </row>
    <row r="70" ht="58" customHeight="1">
      <c r="A70" s="16" t="inlineStr">
        <is>
          <t>M10-01</t>
        </is>
      </c>
      <c r="B70" s="16" t="inlineStr">
        <is>
          <t>Operational KPIs</t>
        </is>
      </c>
      <c r="C70" s="16" t="inlineStr">
        <is>
          <t>M10 – Reporting &amp; Analytics</t>
        </is>
      </c>
      <c r="D70" s="17" t="inlineStr">
        <is>
          <t>Must</t>
        </is>
      </c>
      <c r="E70" s="16" t="inlineStr">
        <is>
          <t>Medium</t>
        </is>
      </c>
      <c r="F70" s="18" t="inlineStr">
        <is>
          <t>Fully Working</t>
        </is>
      </c>
      <c r="G70" s="19" t="n">
        <v>100</v>
      </c>
      <c r="H70" s="16" t="inlineStr">
        <is>
          <t>analytics/views.py:ReportTrendsView returns total_tickets, served_count, avg_wait, avg_handle per day</t>
        </is>
      </c>
      <c r="I70" s="16" t="inlineStr">
        <is>
          <t>company-admin.tsx – operational KPI cards</t>
        </is>
      </c>
      <c r="J70" s="16" t="inlineStr">
        <is>
          <t>Y</t>
        </is>
      </c>
      <c r="K70" s="16" t="inlineStr">
        <is>
          <t>Y – test_phase5.py passes</t>
        </is>
      </c>
      <c r="L70" s="16" t="inlineStr">
        <is>
          <t>High</t>
        </is>
      </c>
      <c r="M70" s="16" t="inlineStr">
        <is>
          <t>Ran pytest test_phase5.py – passes; confirmed ReportTrendsView endpoint returns correct keys</t>
        </is>
      </c>
      <c r="N70" s="16" t="inlineStr">
        <is>
          <t>None</t>
        </is>
      </c>
      <c r="O70" s="16" t="inlineStr">
        <is>
          <t>—</t>
        </is>
      </c>
    </row>
    <row r="71" ht="58" customHeight="1">
      <c r="A71" s="16" t="inlineStr">
        <is>
          <t>M10-02</t>
        </is>
      </c>
      <c r="B71" s="16" t="inlineStr">
        <is>
          <t>Peak-hour heatmap</t>
        </is>
      </c>
      <c r="C71" s="16" t="inlineStr">
        <is>
          <t>M10 – Reporting &amp; Analytics</t>
        </is>
      </c>
      <c r="D71" s="21" t="inlineStr">
        <is>
          <t>Should</t>
        </is>
      </c>
      <c r="E71" s="16" t="inlineStr">
        <is>
          <t>Medium</t>
        </is>
      </c>
      <c r="F71" s="18" t="inlineStr">
        <is>
          <t>Fully Working</t>
        </is>
      </c>
      <c r="G71" s="19" t="n">
        <v>100</v>
      </c>
      <c r="H71" s="16" t="inlineStr">
        <is>
          <t>analytics/views.py:ReportTrendsView returns peak_hours dict (hour→count)</t>
        </is>
      </c>
      <c r="I71" s="16" t="inlineStr">
        <is>
          <t>company-admin.tsx – peak hour heatmap chart</t>
        </is>
      </c>
      <c r="J71" s="16" t="inlineStr">
        <is>
          <t>Y</t>
        </is>
      </c>
      <c r="K71" s="16" t="inlineStr">
        <is>
          <t>N</t>
        </is>
      </c>
      <c r="L71" s="16" t="inlineStr">
        <is>
          <t>High</t>
        </is>
      </c>
      <c r="M71" s="16" t="inlineStr">
        <is>
          <t>Read ReportTrendsView:63 – peak_hours aggregated from snapshot metrics; frontend chart confirmed in company-admin.tsx</t>
        </is>
      </c>
      <c r="N71" s="16" t="inlineStr">
        <is>
          <t>Requires Celery nightly task to populate ReportSnapshot</t>
        </is>
      </c>
      <c r="O71" s="16" t="inlineStr">
        <is>
          <t>Run analytics aggregation Celery task to seed data</t>
        </is>
      </c>
    </row>
    <row r="72" ht="58" customHeight="1">
      <c r="A72" s="16" t="inlineStr">
        <is>
          <t>M10-03</t>
        </is>
      </c>
      <c r="B72" s="16" t="inlineStr">
        <is>
          <t>Staff/operator performance</t>
        </is>
      </c>
      <c r="C72" s="16" t="inlineStr">
        <is>
          <t>M10 – Reporting &amp; Analytics</t>
        </is>
      </c>
      <c r="D72" s="21" t="inlineStr">
        <is>
          <t>Should</t>
        </is>
      </c>
      <c r="E72" s="16" t="inlineStr">
        <is>
          <t>Medium</t>
        </is>
      </c>
      <c r="F72" s="18" t="inlineStr">
        <is>
          <t>Fully Working</t>
        </is>
      </c>
      <c r="G72" s="19" t="n">
        <v>100</v>
      </c>
      <c r="H72" s="16" t="inlineStr">
        <is>
          <t>analytics/views.py:ReportTrendsView returns staff_summary (operator_id→served_count, avg_handle)</t>
        </is>
      </c>
      <c r="I72" s="16" t="inlineStr">
        <is>
          <t>company-admin.tsx – staff performance tab</t>
        </is>
      </c>
      <c r="J72" s="16" t="inlineStr">
        <is>
          <t>Y</t>
        </is>
      </c>
      <c r="K72" s="16" t="inlineStr">
        <is>
          <t>N</t>
        </is>
      </c>
      <c r="L72" s="16" t="inlineStr">
        <is>
          <t>High</t>
        </is>
      </c>
      <c r="M72" s="16" t="inlineStr">
        <is>
          <t>Read ReportTrendsView:66 – staff_summary built from snapshot metrics</t>
        </is>
      </c>
      <c r="N72" s="16" t="inlineStr">
        <is>
          <t>None</t>
        </is>
      </c>
      <c r="O72" s="16" t="inlineStr">
        <is>
          <t>—</t>
        </is>
      </c>
    </row>
    <row r="73" ht="58" customHeight="1">
      <c r="A73" s="16" t="inlineStr">
        <is>
          <t>M10-04</t>
        </is>
      </c>
      <c r="B73" s="16" t="inlineStr">
        <is>
          <t>Branch comparison report</t>
        </is>
      </c>
      <c r="C73" s="16" t="inlineStr">
        <is>
          <t>M10 – Reporting &amp; Analytics</t>
        </is>
      </c>
      <c r="D73" s="21" t="inlineStr">
        <is>
          <t>Should</t>
        </is>
      </c>
      <c r="E73" s="16" t="inlineStr">
        <is>
          <t>Medium</t>
        </is>
      </c>
      <c r="F73" s="18" t="inlineStr">
        <is>
          <t>Fully Working</t>
        </is>
      </c>
      <c r="G73" s="19" t="n">
        <v>100</v>
      </c>
      <c r="H73" s="16" t="inlineStr">
        <is>
          <t>analytics/views.py:ReportTrendsView returns branch_comp dict</t>
        </is>
      </c>
      <c r="I73" s="16" t="inlineStr">
        <is>
          <t>company-admin.tsx – branch comparison section</t>
        </is>
      </c>
      <c r="J73" s="16" t="inlineStr">
        <is>
          <t>Y</t>
        </is>
      </c>
      <c r="K73" s="16" t="inlineStr">
        <is>
          <t>N</t>
        </is>
      </c>
      <c r="L73" s="16" t="inlineStr">
        <is>
          <t>High</t>
        </is>
      </c>
      <c r="M73" s="16" t="inlineStr">
        <is>
          <t>Read ReportTrendsView:79 – branch_comp dict populated</t>
        </is>
      </c>
      <c r="N73" s="16" t="inlineStr">
        <is>
          <t>None</t>
        </is>
      </c>
      <c r="O73" s="16" t="inlineStr">
        <is>
          <t>—</t>
        </is>
      </c>
    </row>
    <row r="74" ht="58" customHeight="1">
      <c r="A74" s="16" t="inlineStr">
        <is>
          <t>M10-05</t>
        </is>
      </c>
      <c r="B74" s="16" t="inlineStr">
        <is>
          <t>Customer feedback/rating (future-pull-forward)</t>
        </is>
      </c>
      <c r="C74" s="16" t="inlineStr">
        <is>
          <t>M10 – Reporting &amp; Analytics</t>
        </is>
      </c>
      <c r="D74" s="22" t="inlineStr">
        <is>
          <t>Could</t>
        </is>
      </c>
      <c r="E74" s="16" t="inlineStr">
        <is>
          <t>Medium</t>
        </is>
      </c>
      <c r="F74" s="24" t="inlineStr">
        <is>
          <t>Scaffolded</t>
        </is>
      </c>
      <c r="G74" s="19" t="n">
        <v>25</v>
      </c>
      <c r="H74" s="16" t="inlineStr">
        <is>
          <t>feedback/models.py:Feedback (rating, comment, ticket FK, appointment FK); no views.py, no urls.py, no router registration</t>
        </is>
      </c>
      <c r="I74" s="16" t="inlineStr">
        <is>
          <t>N/A – no feedback collection UI found in any route or component</t>
        </is>
      </c>
      <c r="J74" s="16" t="inlineStr">
        <is>
          <t>N</t>
        </is>
      </c>
      <c r="K74" s="16" t="inlineStr">
        <is>
          <t>N</t>
        </is>
      </c>
      <c r="L74" s="16" t="inlineStr">
        <is>
          <t>High</t>
        </is>
      </c>
      <c r="M74" s="16" t="inlineStr">
        <is>
          <t>Listed feedback/ directory – only apps.py, models.py, migrations/ (no views, no urls, no admin); frontend grep for feedback|rating – no UI component found</t>
        </is>
      </c>
      <c r="N74" s="16" t="inlineStr">
        <is>
          <t>Model only; no API surface and no UI</t>
        </is>
      </c>
      <c r="O74" s="16" t="inlineStr">
        <is>
          <t>Implement views.py, urls.py, and post-service feedback form</t>
        </is>
      </c>
    </row>
    <row r="75" ht="58" customHeight="1">
      <c r="A75" s="16" t="inlineStr">
        <is>
          <t>M10-06</t>
        </is>
      </c>
      <c r="B75" s="16" t="inlineStr">
        <is>
          <t>API/data export for BI tools</t>
        </is>
      </c>
      <c r="C75" s="16" t="inlineStr">
        <is>
          <t>M10 – Reporting &amp; Analytics</t>
        </is>
      </c>
      <c r="D75" s="22" t="inlineStr">
        <is>
          <t>Could</t>
        </is>
      </c>
      <c r="E75" s="16" t="inlineStr">
        <is>
          <t>Medium</t>
        </is>
      </c>
      <c r="F75" s="20" t="inlineStr">
        <is>
          <t>Partially Working</t>
        </is>
      </c>
      <c r="G75" s="19" t="n">
        <v>50</v>
      </c>
      <c r="H75" s="16" t="inlineStr">
        <is>
          <t>analytics/views.py:ReportExportView returns CSV via pandas; /api/reports/export/</t>
        </is>
      </c>
      <c r="I75" s="16" t="inlineStr">
        <is>
          <t>company-admin.tsx – export CSV button</t>
        </is>
      </c>
      <c r="J75" s="16" t="inlineStr">
        <is>
          <t>Y</t>
        </is>
      </c>
      <c r="K75" s="16" t="inlineStr">
        <is>
          <t>N</t>
        </is>
      </c>
      <c r="L75" s="16" t="inlineStr">
        <is>
          <t>High</t>
        </is>
      </c>
      <c r="M75" s="16" t="inlineStr">
        <is>
          <t>Read ReportExportView – uses pandas to_csv(); endpoint registered in urls.py</t>
        </is>
      </c>
      <c r="N75" s="16" t="inlineStr">
        <is>
          <t>Only CSV; no JSON:API or BI-connector format; no scheduled push to BI tools</t>
        </is>
      </c>
      <c r="O75" s="16" t="inlineStr">
        <is>
          <t>Add JSON export option; document BI integration pattern</t>
        </is>
      </c>
    </row>
    <row r="76" ht="58" customHeight="1">
      <c r="A76" s="16" t="inlineStr">
        <is>
          <t>M11-01</t>
        </is>
      </c>
      <c r="B76" s="16" t="inlineStr">
        <is>
          <t>Audit logging</t>
        </is>
      </c>
      <c r="C76" s="16" t="inlineStr">
        <is>
          <t>M11 – Cross-Cutting Platform Concerns</t>
        </is>
      </c>
      <c r="D76" s="17" t="inlineStr">
        <is>
          <t>Must</t>
        </is>
      </c>
      <c r="E76" s="16" t="inlineStr">
        <is>
          <t>Medium</t>
        </is>
      </c>
      <c r="F76" s="18" t="inlineStr">
        <is>
          <t>Fully Working</t>
        </is>
      </c>
      <c r="G76" s="19" t="n">
        <v>100</v>
      </c>
      <c r="H76" s="16" t="inlineStr">
        <is>
          <t>audit/models.py:AuditLog; audit/utils.py:log_audit() called in accounts, companies, billing, queuing views; /api/audit-logs/</t>
        </is>
      </c>
      <c r="I76" s="16" t="inlineStr">
        <is>
          <t>super-admin.tsx – audit log tab</t>
        </is>
      </c>
      <c r="J76" s="16" t="inlineStr">
        <is>
          <t>Y</t>
        </is>
      </c>
      <c r="K76" s="16" t="inlineStr">
        <is>
          <t>N – audit/tests.py is 60-byte stub</t>
        </is>
      </c>
      <c r="L76" s="16" t="inlineStr">
        <is>
          <t>High</t>
        </is>
      </c>
      <c r="M76" s="16" t="inlineStr">
        <is>
          <t>Read log_audit() – called in ~8 different views; AuditLogViewSet confirmed in urls.py</t>
        </is>
      </c>
      <c r="N76" s="16" t="inlineStr">
        <is>
          <t>No audit tests</t>
        </is>
      </c>
      <c r="O76" s="16" t="inlineStr">
        <is>
          <t>Write test_audit.py</t>
        </is>
      </c>
    </row>
    <row r="77" ht="58" customHeight="1">
      <c r="A77" s="16" t="inlineStr">
        <is>
          <t>M11-02</t>
        </is>
      </c>
      <c r="B77" s="16" t="inlineStr">
        <is>
          <t>Multi-language / i18n</t>
        </is>
      </c>
      <c r="C77" s="16" t="inlineStr">
        <is>
          <t>M11 – Cross-Cutting Platform Concerns</t>
        </is>
      </c>
      <c r="D77" s="21" t="inlineStr">
        <is>
          <t>Should</t>
        </is>
      </c>
      <c r="E77" s="16" t="inlineStr">
        <is>
          <t>Medium</t>
        </is>
      </c>
      <c r="F77" s="23" t="inlineStr">
        <is>
          <t>Not Started</t>
        </is>
      </c>
      <c r="G77" s="19" t="n">
        <v>0</v>
      </c>
      <c r="H77" s="16" t="inlineStr">
        <is>
          <t>N/A</t>
        </is>
      </c>
      <c r="I77" s="16" t="inlineStr">
        <is>
          <t>N/A – searched all .tsx files for i18n|useTranslation|t( – zero hits; no i18n library in package.json</t>
        </is>
      </c>
      <c r="J77" s="16" t="inlineStr">
        <is>
          <t>N</t>
        </is>
      </c>
      <c r="K77" s="16" t="inlineStr">
        <is>
          <t>N</t>
        </is>
      </c>
      <c r="L77" s="16" t="inlineStr">
        <is>
          <t>High</t>
        </is>
      </c>
      <c r="M77" s="16" t="inlineStr">
        <is>
          <t>grep src/ for i18n|useTranslation – zero hits; checked package.json – no i18next or react-intl</t>
        </is>
      </c>
      <c r="N77" s="16" t="inlineStr">
        <is>
          <t>Feature entirely absent</t>
        </is>
      </c>
      <c r="O77" s="16" t="inlineStr">
        <is>
          <t>Add i18next or react-intl; externalize all UI strings</t>
        </is>
      </c>
    </row>
    <row r="78" ht="58" customHeight="1">
      <c r="A78" s="16" t="inlineStr">
        <is>
          <t>M11-03</t>
        </is>
      </c>
      <c r="B78" s="16" t="inlineStr">
        <is>
          <t>Data privacy / consent</t>
        </is>
      </c>
      <c r="C78" s="16" t="inlineStr">
        <is>
          <t>M11 – Cross-Cutting Platform Concerns</t>
        </is>
      </c>
      <c r="D78" s="17" t="inlineStr">
        <is>
          <t>Must</t>
        </is>
      </c>
      <c r="E78" s="16" t="inlineStr">
        <is>
          <t>Low</t>
        </is>
      </c>
      <c r="F78" s="18" t="inlineStr">
        <is>
          <t>Fully Working</t>
        </is>
      </c>
      <c r="G78" s="19" t="n">
        <v>100</v>
      </c>
      <c r="H78" s="16" t="inlineStr">
        <is>
          <t>queuing/models.py:Ticket.customer_consented_at; EncryptedCharField on customer_phone; blind_index for search; core/tasks.py:purge_expired_customer_pii()</t>
        </is>
      </c>
      <c r="I78" s="16" t="inlineStr">
        <is>
          <t>q.$branchId.tsx – consent checkbox before join; $companySlug.tsx – consent checkbox on booking</t>
        </is>
      </c>
      <c r="J78" s="16" t="inlineStr">
        <is>
          <t>Y</t>
        </is>
      </c>
      <c r="K78" s="16" t="inlineStr">
        <is>
          <t>Y – test_phase7.py covers PII purge</t>
        </is>
      </c>
      <c r="L78" s="16" t="inlineStr">
        <is>
          <t>High</t>
        </is>
      </c>
      <c r="M78" s="16" t="inlineStr">
        <is>
          <t>Ran pytest test_phase7.py – PII purge test passes; read consent_at field in model</t>
        </is>
      </c>
      <c r="N78" s="16" t="inlineStr">
        <is>
          <t>None</t>
        </is>
      </c>
      <c r="O78" s="16" t="inlineStr">
        <is>
          <t>—</t>
        </is>
      </c>
    </row>
    <row r="79" ht="58" customHeight="1">
      <c r="A79" s="16" t="inlineStr">
        <is>
          <t>M11-04</t>
        </is>
      </c>
      <c r="B79" s="16" t="inlineStr">
        <is>
          <t>Rate limiting &amp; abuse protection</t>
        </is>
      </c>
      <c r="C79" s="16" t="inlineStr">
        <is>
          <t>M11 – Cross-Cutting Platform Concerns</t>
        </is>
      </c>
      <c r="D79" s="17" t="inlineStr">
        <is>
          <t>Must</t>
        </is>
      </c>
      <c r="E79" s="16" t="inlineStr">
        <is>
          <t>Medium</t>
        </is>
      </c>
      <c r="F79" s="20" t="inlineStr">
        <is>
          <t>Partially Working</t>
        </is>
      </c>
      <c r="G79" s="19" t="n">
        <v>50</v>
      </c>
      <c r="H79" s="16" t="inlineStr">
        <is>
          <t>core/throttles.py:PublicBurstThrottle, PublicSubmitThrottle, CompanySignupThrottle; core/honeypot.py; applied to PublicJoinQueueView, CompanyRegistrationView</t>
        </is>
      </c>
      <c r="I79" s="16" t="inlineStr">
        <is>
          <t>N/A</t>
        </is>
      </c>
      <c r="J79" s="16" t="inlineStr">
        <is>
          <t>N</t>
        </is>
      </c>
      <c r="K79" s="16" t="inlineStr">
        <is>
          <t>N – test_phase2.py::test_anon_rate_limiting FAILED (assert 400==201)</t>
        </is>
      </c>
      <c r="L79" s="16" t="inlineStr">
        <is>
          <t>High</t>
        </is>
      </c>
      <c r="M79" s="16" t="inlineStr">
        <is>
          <t>Ran pytest test_phase2.py::test_anon_rate_limiting – FAILED; throttle test asserts wrong status code (got 201 instead of 400 after burst)</t>
        </is>
      </c>
      <c r="N79" s="16" t="inlineStr">
        <is>
          <t>test_anon_rate_limiting FAILS – throttle may be too permissive in test environment (ANON_THROTTLE_RATES not set for test)</t>
        </is>
      </c>
      <c r="O79" s="16" t="inlineStr">
        <is>
          <t>Set TEST_THROTTLE_RATES or configure throttle override in test settings</t>
        </is>
      </c>
    </row>
    <row r="80" ht="58" customHeight="1">
      <c r="A80" s="16" t="inlineStr">
        <is>
          <t>M11-05</t>
        </is>
      </c>
      <c r="B80" s="16" t="inlineStr">
        <is>
          <t>Payment gateway integration</t>
        </is>
      </c>
      <c r="C80" s="16" t="inlineStr">
        <is>
          <t>M11 – Cross-Cutting Platform Concerns</t>
        </is>
      </c>
      <c r="D80" s="17" t="inlineStr">
        <is>
          <t>Must</t>
        </is>
      </c>
      <c r="E80" s="16" t="inlineStr">
        <is>
          <t>High</t>
        </is>
      </c>
      <c r="F80" s="20" t="inlineStr">
        <is>
          <t>Partially Working</t>
        </is>
      </c>
      <c r="G80" s="19" t="n">
        <v>50</v>
      </c>
      <c r="H80" s="16" t="inlineStr">
        <is>
          <t>billing/stripe_helper.py; billing/views.py:StripeWebhookView, CheckoutSessionView; StripeSimulatorView as sandbox</t>
        </is>
      </c>
      <c r="I80" s="16" t="inlineStr">
        <is>
          <t>signup.tsx – payment step</t>
        </is>
      </c>
      <c r="J80" s="16" t="inlineStr">
        <is>
          <t>N</t>
        </is>
      </c>
      <c r="K80" s="16" t="inlineStr">
        <is>
          <t>N</t>
        </is>
      </c>
      <c r="L80" s="16" t="inlineStr">
        <is>
          <t>High</t>
        </is>
      </c>
      <c r="M80" s="16" t="inlineStr">
        <is>
          <t>Read .env – STRIPE_SECRET_KEY not set; StripeSimulatorView (sandbox) is functional but not real Stripe</t>
        </is>
      </c>
      <c r="N80" s="16" t="inlineStr">
        <is>
          <t>STRIPE_SECRET_KEY absent from .env</t>
        </is>
      </c>
      <c r="O80" s="16" t="inlineStr">
        <is>
          <t>Add test Stripe key; run checkout against Stripe sandbox</t>
        </is>
      </c>
    </row>
    <row r="81" ht="58" customHeight="1">
      <c r="A81" s="16" t="inlineStr">
        <is>
          <t>M11-06</t>
        </is>
      </c>
      <c r="B81" s="16" t="inlineStr">
        <is>
          <t>SMS/OTP gateway integration</t>
        </is>
      </c>
      <c r="C81" s="16" t="inlineStr">
        <is>
          <t>M11 – Cross-Cutting Platform Concerns</t>
        </is>
      </c>
      <c r="D81" s="17" t="inlineStr">
        <is>
          <t>Must</t>
        </is>
      </c>
      <c r="E81" s="16" t="inlineStr">
        <is>
          <t>Medium</t>
        </is>
      </c>
      <c r="F81" s="24" t="inlineStr">
        <is>
          <t>Scaffolded</t>
        </is>
      </c>
      <c r="G81" s="19" t="n">
        <v>25</v>
      </c>
      <c r="H81" s="16" t="inlineStr">
        <is>
          <t>accounts/services/ dir exists; notifications/tasks.py:dispatch_notification() has SMS routing; OtpSendView uses SMS_BACKEND</t>
        </is>
      </c>
      <c r="I81" s="16" t="inlineStr">
        <is>
          <t>N/A</t>
        </is>
      </c>
      <c r="J81" s="16" t="inlineStr">
        <is>
          <t>N</t>
        </is>
      </c>
      <c r="K81" s="16" t="inlineStr">
        <is>
          <t>N</t>
        </is>
      </c>
      <c r="L81" s="16" t="inlineStr">
        <is>
          <t>High</t>
        </is>
      </c>
      <c r="M81" s="16" t="inlineStr">
        <is>
          <t>Read .env and settings.py – SMS_BACKEND=console; no MSG91_AUTH_KEY or TWILIO_ACCOUNT_SID present</t>
        </is>
      </c>
      <c r="N81" s="16" t="inlineStr">
        <is>
          <t>SMS_BACKEND=console – no real SMS gateway configured</t>
        </is>
      </c>
      <c r="O81" s="16" t="inlineStr">
        <is>
          <t>Configure MSG91_AUTH_KEY or TWILIO credentials; set SMS_BACKEND=msg91</t>
        </is>
      </c>
    </row>
    <row r="82" ht="58" customHeight="1">
      <c r="A82" s="16" t="inlineStr">
        <is>
          <t>M11-07</t>
        </is>
      </c>
      <c r="B82" s="16" t="inlineStr">
        <is>
          <t>File/export storage</t>
        </is>
      </c>
      <c r="C82" s="16" t="inlineStr">
        <is>
          <t>M11 – Cross-Cutting Platform Concerns</t>
        </is>
      </c>
      <c r="D82" s="17" t="inlineStr">
        <is>
          <t>Must</t>
        </is>
      </c>
      <c r="E82" s="16" t="inlineStr">
        <is>
          <t>Low</t>
        </is>
      </c>
      <c r="F82" s="20" t="inlineStr">
        <is>
          <t>Partially Working</t>
        </is>
      </c>
      <c r="G82" s="19" t="n">
        <v>50</v>
      </c>
      <c r="H82" s="16" t="inlineStr">
        <is>
          <t>django.core.files.storage:default_storage used for QR SVG files (in queuing/views.py); qrcodes/ directory has 9 SVG files</t>
        </is>
      </c>
      <c r="I82" s="16" t="inlineStr">
        <is>
          <t>N/A</t>
        </is>
      </c>
      <c r="J82" s="16" t="inlineStr">
        <is>
          <t>N</t>
        </is>
      </c>
      <c r="K82" s="16" t="inlineStr">
        <is>
          <t>N</t>
        </is>
      </c>
      <c r="L82" s="16" t="inlineStr">
        <is>
          <t>High</t>
        </is>
      </c>
      <c r="M82" s="16" t="inlineStr">
        <is>
          <t>Read settings.py – DEFAULT_FILE_STORAGE is django local storage (no S3); qrcodes/ dir has 9 SVGs stored locally; production would need S3/GCS</t>
        </is>
      </c>
      <c r="N82" s="16" t="inlineStr">
        <is>
          <t>Local file storage only – not suitable for multi-server production deployment</t>
        </is>
      </c>
      <c r="O82" s="16" t="inlineStr">
        <is>
          <t>Configure django-storages with S3 backend</t>
        </is>
      </c>
    </row>
    <row r="83" ht="58" customHeight="1">
      <c r="A83" s="16" t="inlineStr">
        <is>
          <t>M11-08</t>
        </is>
      </c>
      <c r="B83" s="16" t="inlineStr">
        <is>
          <t>Health checks &amp; monitoring</t>
        </is>
      </c>
      <c r="C83" s="16" t="inlineStr">
        <is>
          <t>M11 – Cross-Cutting Platform Concerns</t>
        </is>
      </c>
      <c r="D83" s="17" t="inlineStr">
        <is>
          <t>Must</t>
        </is>
      </c>
      <c r="E83" s="16" t="inlineStr">
        <is>
          <t>Low</t>
        </is>
      </c>
      <c r="F83" s="20" t="inlineStr">
        <is>
          <t>Partially Working</t>
        </is>
      </c>
      <c r="G83" s="19" t="n">
        <v>50</v>
      </c>
      <c r="H83" s="16" t="inlineStr">
        <is>
          <t>core/views.py:healthz at /healthz; /metrics returns Prometheus data (200 confirmed)</t>
        </is>
      </c>
      <c r="I83" s="16" t="inlineStr">
        <is>
          <t>N/A</t>
        </is>
      </c>
      <c r="J83" s="16" t="inlineStr">
        <is>
          <t>N</t>
        </is>
      </c>
      <c r="K83" s="16" t="inlineStr">
        <is>
          <t>N</t>
        </is>
      </c>
      <c r="L83" s="16" t="inlineStr">
        <is>
          <t>High</t>
        </is>
      </c>
      <c r="M83" s="16" t="inlineStr">
        <is>
          <t>Hit /metrics via Invoke-WebRequest – 200 with prometheus_gc data; hit /healthz – returns 503 (Service Unavailable) – DB check in healthz fails in current dev setup</t>
        </is>
      </c>
      <c r="N83" s="16" t="inlineStr">
        <is>
          <t>/healthz returns 503 – DB connectivity check in healthz view fails; /metrics works</t>
        </is>
      </c>
      <c r="O83" s="16" t="inlineStr">
        <is>
          <t>Debug healthz: check why DB check returns unavailable (may be DB not initialized in test)</t>
        </is>
      </c>
    </row>
    <row r="84" ht="58" customHeight="1">
      <c r="A84" s="16" t="inlineStr">
        <is>
          <t>M11-09</t>
        </is>
      </c>
      <c r="B84" s="16" t="inlineStr">
        <is>
          <t>API documentation</t>
        </is>
      </c>
      <c r="C84" s="16" t="inlineStr">
        <is>
          <t>M11 – Cross-Cutting Platform Concerns</t>
        </is>
      </c>
      <c r="D84" s="21" t="inlineStr">
        <is>
          <t>Should</t>
        </is>
      </c>
      <c r="E84" s="16" t="inlineStr">
        <is>
          <t>Low</t>
        </is>
      </c>
      <c r="F84" s="18" t="inlineStr">
        <is>
          <t>Fully Working</t>
        </is>
      </c>
      <c r="G84" s="19" t="n">
        <v>100</v>
      </c>
      <c r="H84" s="16" t="inlineStr">
        <is>
          <t>drf_spectacular; /api/schema/, /api/docs/ (Swagger), /api/redoc/</t>
        </is>
      </c>
      <c r="I84" s="16" t="inlineStr">
        <is>
          <t>N/A</t>
        </is>
      </c>
      <c r="J84" s="16" t="inlineStr">
        <is>
          <t>Y</t>
        </is>
      </c>
      <c r="K84" s="16" t="inlineStr">
        <is>
          <t>N</t>
        </is>
      </c>
      <c r="L84" s="16" t="inlineStr">
        <is>
          <t>High</t>
        </is>
      </c>
      <c r="M84" s="16" t="inlineStr">
        <is>
          <t>URL confirmed in urls.py:63-65; drf_spectacular in INSTALLED_APPS in settings.py</t>
        </is>
      </c>
      <c r="N84" s="16" t="inlineStr">
        <is>
          <t>None</t>
        </is>
      </c>
      <c r="O84" s="16" t="inlineStr">
        <is>
          <t>—</t>
        </is>
      </c>
    </row>
    <row r="85" ht="58" customHeight="1">
      <c r="A85" s="16" t="inlineStr">
        <is>
          <t>M11-10</t>
        </is>
      </c>
      <c r="B85" s="16" t="inlineStr">
        <is>
          <t>Backup &amp; disaster recovery</t>
        </is>
      </c>
      <c r="C85" s="16" t="inlineStr">
        <is>
          <t>M11 – Cross-Cutting Platform Concerns</t>
        </is>
      </c>
      <c r="D85" s="17" t="inlineStr">
        <is>
          <t>Must</t>
        </is>
      </c>
      <c r="E85" s="16" t="inlineStr">
        <is>
          <t>Medium</t>
        </is>
      </c>
      <c r="F85" s="20" t="inlineStr">
        <is>
          <t>Partially Working</t>
        </is>
      </c>
      <c r="G85" s="19" t="n">
        <v>50</v>
      </c>
      <c r="H85" s="16" t="inlineStr">
        <is>
          <t>core/backup.py:run_mysql_backup(); core/tasks.py:purge_expired_customer_pii(); CELERY_BEAT_SCHEDULE entries</t>
        </is>
      </c>
      <c r="I85" s="16" t="inlineStr">
        <is>
          <t>N/A</t>
        </is>
      </c>
      <c r="J85" s="16" t="inlineStr">
        <is>
          <t>N</t>
        </is>
      </c>
      <c r="K85" s="16" t="inlineStr">
        <is>
          <t>Y – test_phase7.py covers PII purge; backup file creation not tested</t>
        </is>
      </c>
      <c r="L85" s="16" t="inlineStr">
        <is>
          <t>High</t>
        </is>
      </c>
      <c r="M85" s="16" t="inlineStr">
        <is>
          <t>Read core/backup.py – calls mysqldump subprocess; Celery beat schedules confirmed in settings.py; purge_expired_customer_pii passes in test_phase7.py; mysqldump must be on PATH</t>
        </is>
      </c>
      <c r="N85" s="16" t="inlineStr">
        <is>
          <t>Celery beat must be running; mysqldump must be on PATH (XAMPP installs it in MySQL bin); no DR runbook</t>
        </is>
      </c>
      <c r="O85" s="16" t="inlineStr">
        <is>
          <t>Confirm mysqldump in PATH; start Celery beat; create DR runbook</t>
        </is>
      </c>
    </row>
  </sheetData>
  <autoFilter ref="A1:O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5" customWidth="1" min="1" max="1"/>
    <col width="75" customWidth="1" min="2" max="2"/>
    <col width="20" customWidth="1" min="3" max="3"/>
  </cols>
  <sheetData>
    <row r="1">
      <c r="A1" s="2" t="inlineStr">
        <is>
          <t>Path / Location</t>
        </is>
      </c>
      <c r="B1" s="2" t="inlineStr">
        <is>
          <t>Description</t>
        </is>
      </c>
      <c r="C1" s="2" t="inlineStr">
        <is>
          <t>Risk</t>
        </is>
      </c>
    </row>
    <row r="2" ht="28" customHeight="1">
      <c r="A2" t="inlineStr">
        <is>
          <t>completed_modules.xlsx (root + public/)</t>
        </is>
      </c>
      <c r="B2" t="inlineStr">
        <is>
          <t>Separate UI polish tracker (MOD-01…MOD-10) for frontend visual improvements; not in main breakdown sheet</t>
        </is>
      </c>
      <c r="C2" t="inlineStr">
        <is>
          <t>Low</t>
        </is>
      </c>
    </row>
    <row r="3" ht="28" customHeight="1">
      <c r="A3" t="inlineStr">
        <is>
          <t>src/components/site/scroll-controlled-background.tsx</t>
        </is>
      </c>
      <c r="B3" t="inlineStr">
        <is>
          <t>Scroll-linked background video – frontend-only visual enhancement; not in any M0-M11 module</t>
        </is>
      </c>
      <c r="C3" t="inlineStr">
        <is>
          <t>Low</t>
        </is>
      </c>
    </row>
    <row r="4" ht="28" customHeight="1">
      <c r="A4" t="inlineStr">
        <is>
          <t>backend/tests/locustfile.py</t>
        </is>
      </c>
      <c r="B4" t="inlineStr">
        <is>
          <t>Locust load-test script (~200 lines); not in breakdown spec but useful for NFR testing</t>
        </is>
      </c>
      <c r="C4" t="inlineStr">
        <is>
          <t>Low</t>
        </is>
      </c>
    </row>
    <row r="5" ht="28" customHeight="1">
      <c r="A5" t="inlineStr">
        <is>
          <t>backend/tests/test_scenario57.py</t>
        </is>
      </c>
      <c r="B5" t="inlineStr">
        <is>
          <t>Specific scenario test (named 'scenario57'); 1 test FAILS – negative qualification removal edge case</t>
        </is>
      </c>
      <c r="C5" t="inlineStr">
        <is>
          <t>Medium – failing test</t>
        </is>
      </c>
    </row>
    <row r="6" ht="28" customHeight="1">
      <c r="A6" t="inlineStr">
        <is>
          <t>backend/tests/test_phase6.py</t>
        </is>
      </c>
      <c r="B6" t="inlineStr">
        <is>
          <t>Phase 6 test file (6 KB); covers security/compliance tests not in M0-M11 breakdown</t>
        </is>
      </c>
      <c r="C6" t="inlineStr">
        <is>
          <t>Low</t>
        </is>
      </c>
    </row>
    <row r="7" ht="28" customHeight="1">
      <c r="A7" t="inlineStr">
        <is>
          <t>backend/tests/test_phase7.py</t>
        </is>
      </c>
      <c r="B7" t="inlineStr">
        <is>
          <t>Phase 7 test file (36 KB – largest); covers data retention, backup, WebSocket Redis – beyond main spec</t>
        </is>
      </c>
      <c r="C7" t="inlineStr">
        <is>
          <t>Low</t>
        </is>
      </c>
    </row>
    <row r="8" ht="28" customHeight="1">
      <c r="A8" t="inlineStr">
        <is>
          <t>billing/stripe_helper.py</t>
        </is>
      </c>
      <c r="B8" t="inlineStr">
        <is>
          <t>Stripe wrapper module (3 KB); not listed as standalone module in breakdown</t>
        </is>
      </c>
      <c r="C8" t="inlineStr">
        <is>
          <t>Low</t>
        </is>
      </c>
    </row>
    <row r="9" ht="28" customHeight="1">
      <c r="A9" t="inlineStr">
        <is>
          <t>core/honeypot.py</t>
        </is>
      </c>
      <c r="B9" t="inlineStr">
        <is>
          <t>Bot honeypot field validator – security extra beyond spec items</t>
        </is>
      </c>
      <c r="C9" t="inlineStr">
        <is>
          <t>Low</t>
        </is>
      </c>
    </row>
    <row r="10" ht="28" customHeight="1">
      <c r="A10" t="inlineStr">
        <is>
          <t>core/throttles.py</t>
        </is>
      </c>
      <c r="B10" t="inlineStr">
        <is>
          <t>Custom DRF throttle classes – referenced in spec (M11-04) but implemented as standalone module</t>
        </is>
      </c>
      <c r="C10" t="inlineStr">
        <is>
          <t>Low</t>
        </is>
      </c>
    </row>
    <row r="11" ht="28" customHeight="1">
      <c r="A11" t="inlineStr">
        <is>
          <t>core/crypto.py</t>
        </is>
      </c>
      <c r="B11" t="inlineStr">
        <is>
          <t>Blind-index + tracking-code generator – PII encryption support beyond explicit spec</t>
        </is>
      </c>
      <c r="C11" t="inlineStr">
        <is>
          <t>Low</t>
        </is>
      </c>
    </row>
    <row r="12" ht="28" customHeight="1">
      <c r="A12" t="inlineStr">
        <is>
          <t>backend/subscriptions/</t>
        </is>
      </c>
      <c r="B12" t="inlineStr">
        <is>
          <t>Empty subscriptions/ app (only services/ subdir); functionality consolidated into billing/</t>
        </is>
      </c>
      <c r="C12" t="inlineStr">
        <is>
          <t>Low – no routes</t>
        </is>
      </c>
    </row>
    <row r="13" ht="28" customHeight="1">
      <c r="A13" t="inlineStr">
        <is>
          <t>qrcodes/ (root)</t>
        </is>
      </c>
      <c r="B13" t="inlineStr">
        <is>
          <t>Static directory of pre-generated SVG QR codes; not a Django app</t>
        </is>
      </c>
      <c r="C13" t="inlineStr">
        <is>
          <t>Low</t>
        </is>
      </c>
    </row>
    <row r="14" ht="28" customHeight="1">
      <c r="A14" t="inlineStr">
        <is>
          <t>src/routes/book.tsx</t>
        </is>
      </c>
      <c r="B14" t="inlineStr">
        <is>
          <t>Standalone 12 KB route; partial overlap with $companySlug.tsx booking flow – may be dead code or alternate flow</t>
        </is>
      </c>
      <c r="C14" t="inlineStr">
        <is>
          <t>Medium – may be dead code</t>
        </is>
      </c>
    </row>
    <row r="15" ht="28" customHeight="1">
      <c r="A15" t="inlineStr">
        <is>
          <t>src/lib/quesole/store.tsx:1601</t>
        </is>
      </c>
      <c r="B15" t="inlineStr">
        <is>
          <t>Dashboard delta percentages (vs. yesterday) computed client-side in store.tsx – not from a backend API aggregate</t>
        </is>
      </c>
      <c r="C15" t="inlineStr">
        <is>
          <t>Low – cosmetic</t>
        </is>
      </c>
    </row>
    <row r="16" ht="28" customHeight="1">
      <c r="A16" t="inlineStr">
        <is>
          <t>src/components/site/sections.tsx</t>
        </is>
      </c>
      <c r="B16" t="inlineStr">
        <is>
          <t>Large marketing page sections (visual only) – fully working but no mapping to spec module</t>
        </is>
      </c>
      <c r="C16" t="inlineStr">
        <is>
          <t>Low</t>
        </is>
      </c>
    </row>
    <row r="17" ht="28" customHeight="1">
      <c r="A17" t="inlineStr">
        <is>
          <t>backend/display/</t>
        </is>
      </c>
      <c r="B17" t="inlineStr">
        <is>
          <t>display/ Django app exists with DisplayDevice model but zero views/routes – dead app stub beyond display board</t>
        </is>
      </c>
      <c r="C17" t="inlineStr">
        <is>
          <t>High – empty app causes confusion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2026-08-23T18:26:08Z</dcterms:created>
  <dcterms:modified xsi:type="dcterms:W3CDTF">2026-08-23T18:26:08Z</dcterms:modified>
</cp:coreProperties>
</file>